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y Drive\phd\LabETC\DCMSEAL\GitHub\results\251020_Synthetic\"/>
    </mc:Choice>
  </mc:AlternateContent>
  <xr:revisionPtr revIDLastSave="0" documentId="13_ncr:1_{257F8A44-7350-494B-A0D5-103F6F554270}" xr6:coauthVersionLast="47" xr6:coauthVersionMax="47" xr10:uidLastSave="{00000000-0000-0000-0000-000000000000}"/>
  <bookViews>
    <workbookView xWindow="38280" yWindow="885" windowWidth="29040" windowHeight="15720" activeTab="4" xr2:uid="{00000000-000D-0000-FFFF-FFFF00000000}"/>
  </bookViews>
  <sheets>
    <sheet name="MNL" sheetId="1" r:id="rId1"/>
    <sheet name="EMNL" sheetId="4" r:id="rId2"/>
    <sheet name="LCCM" sheetId="2" r:id="rId3"/>
    <sheet name="NNLCCM" sheetId="6" r:id="rId4"/>
    <sheet name="DCMSEAL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0" i="11" l="1"/>
  <c r="AI71" i="11" s="1"/>
  <c r="AI41" i="11"/>
  <c r="AI42" i="11"/>
  <c r="AI43" i="11"/>
  <c r="AI44" i="11"/>
  <c r="AI45" i="11"/>
  <c r="AI69" i="11" s="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39" i="11"/>
  <c r="AI70" i="11" s="1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39" i="6"/>
  <c r="AI40" i="2"/>
  <c r="AI69" i="2" s="1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39" i="2"/>
  <c r="AI70" i="2" s="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AH68" i="11" s="1"/>
  <c r="D68" i="11"/>
  <c r="C68" i="11"/>
  <c r="A68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A67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A66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A65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A64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A63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A62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A61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A60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A59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A58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A57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A56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A55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A54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A53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A52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A51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A50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A49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AG48" i="11" s="1"/>
  <c r="D48" i="11"/>
  <c r="C48" i="11"/>
  <c r="A48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A47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AH46" i="11" s="1"/>
  <c r="A46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A45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A44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A43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A42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A41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A40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A39" i="11"/>
  <c r="B33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G31" i="11"/>
  <c r="AG30" i="11"/>
  <c r="AG29" i="11"/>
  <c r="AG28" i="11"/>
  <c r="AG27" i="11"/>
  <c r="AG26" i="11"/>
  <c r="AG25" i="11"/>
  <c r="AG24" i="11"/>
  <c r="AG23" i="11"/>
  <c r="AG22" i="11"/>
  <c r="AG21" i="11"/>
  <c r="AG20" i="11"/>
  <c r="AG19" i="11"/>
  <c r="AG18" i="11"/>
  <c r="AG17" i="11"/>
  <c r="AG16" i="11"/>
  <c r="AG15" i="11"/>
  <c r="AG14" i="11"/>
  <c r="AG13" i="11"/>
  <c r="AG12" i="11"/>
  <c r="AG11" i="11"/>
  <c r="AG10" i="11"/>
  <c r="AG9" i="11"/>
  <c r="AG8" i="11"/>
  <c r="AG7" i="11"/>
  <c r="AG6" i="11"/>
  <c r="AG5" i="11"/>
  <c r="AG4" i="11"/>
  <c r="AG3" i="11"/>
  <c r="AG2" i="11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39" i="6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39" i="2"/>
  <c r="B33" i="4"/>
  <c r="B33" i="2"/>
  <c r="B33" i="6"/>
  <c r="D39" i="6"/>
  <c r="E39" i="6"/>
  <c r="F39" i="6"/>
  <c r="G39" i="6"/>
  <c r="H39" i="6"/>
  <c r="I39" i="6"/>
  <c r="J39" i="6"/>
  <c r="K39" i="6"/>
  <c r="L39" i="6"/>
  <c r="M39" i="6"/>
  <c r="N39" i="6"/>
  <c r="D40" i="6"/>
  <c r="E40" i="6"/>
  <c r="F40" i="6"/>
  <c r="G40" i="6"/>
  <c r="H40" i="6"/>
  <c r="I40" i="6"/>
  <c r="J40" i="6"/>
  <c r="K40" i="6"/>
  <c r="L40" i="6"/>
  <c r="M40" i="6"/>
  <c r="N40" i="6"/>
  <c r="D41" i="6"/>
  <c r="E41" i="6"/>
  <c r="F41" i="6"/>
  <c r="G41" i="6"/>
  <c r="H41" i="6"/>
  <c r="I41" i="6"/>
  <c r="J41" i="6"/>
  <c r="K41" i="6"/>
  <c r="L41" i="6"/>
  <c r="M41" i="6"/>
  <c r="N41" i="6"/>
  <c r="D42" i="6"/>
  <c r="E42" i="6"/>
  <c r="F42" i="6"/>
  <c r="G42" i="6"/>
  <c r="H42" i="6"/>
  <c r="I42" i="6"/>
  <c r="J42" i="6"/>
  <c r="K42" i="6"/>
  <c r="L42" i="6"/>
  <c r="M42" i="6"/>
  <c r="N42" i="6"/>
  <c r="D43" i="6"/>
  <c r="E43" i="6"/>
  <c r="F43" i="6"/>
  <c r="G43" i="6"/>
  <c r="H43" i="6"/>
  <c r="I43" i="6"/>
  <c r="J43" i="6"/>
  <c r="K43" i="6"/>
  <c r="L43" i="6"/>
  <c r="M43" i="6"/>
  <c r="N43" i="6"/>
  <c r="D44" i="6"/>
  <c r="E44" i="6"/>
  <c r="F44" i="6"/>
  <c r="G44" i="6"/>
  <c r="H44" i="6"/>
  <c r="I44" i="6"/>
  <c r="J44" i="6"/>
  <c r="K44" i="6"/>
  <c r="L44" i="6"/>
  <c r="M44" i="6"/>
  <c r="N44" i="6"/>
  <c r="D45" i="6"/>
  <c r="E45" i="6"/>
  <c r="F45" i="6"/>
  <c r="G45" i="6"/>
  <c r="H45" i="6"/>
  <c r="I45" i="6"/>
  <c r="J45" i="6"/>
  <c r="K45" i="6"/>
  <c r="L45" i="6"/>
  <c r="M45" i="6"/>
  <c r="N45" i="6"/>
  <c r="D46" i="6"/>
  <c r="E46" i="6"/>
  <c r="F46" i="6"/>
  <c r="G46" i="6"/>
  <c r="H46" i="6"/>
  <c r="I46" i="6"/>
  <c r="J46" i="6"/>
  <c r="K46" i="6"/>
  <c r="L46" i="6"/>
  <c r="M46" i="6"/>
  <c r="N46" i="6"/>
  <c r="D47" i="6"/>
  <c r="E47" i="6"/>
  <c r="F47" i="6"/>
  <c r="G47" i="6"/>
  <c r="H47" i="6"/>
  <c r="I47" i="6"/>
  <c r="J47" i="6"/>
  <c r="K47" i="6"/>
  <c r="L47" i="6"/>
  <c r="M47" i="6"/>
  <c r="N47" i="6"/>
  <c r="D48" i="6"/>
  <c r="E48" i="6"/>
  <c r="F48" i="6"/>
  <c r="G48" i="6"/>
  <c r="H48" i="6"/>
  <c r="I48" i="6"/>
  <c r="J48" i="6"/>
  <c r="K48" i="6"/>
  <c r="L48" i="6"/>
  <c r="M48" i="6"/>
  <c r="N48" i="6"/>
  <c r="D49" i="6"/>
  <c r="E49" i="6"/>
  <c r="F49" i="6"/>
  <c r="G49" i="6"/>
  <c r="H49" i="6"/>
  <c r="I49" i="6"/>
  <c r="J49" i="6"/>
  <c r="K49" i="6"/>
  <c r="L49" i="6"/>
  <c r="M49" i="6"/>
  <c r="N49" i="6"/>
  <c r="D50" i="6"/>
  <c r="E50" i="6"/>
  <c r="F50" i="6"/>
  <c r="G50" i="6"/>
  <c r="H50" i="6"/>
  <c r="I50" i="6"/>
  <c r="J50" i="6"/>
  <c r="K50" i="6"/>
  <c r="L50" i="6"/>
  <c r="M50" i="6"/>
  <c r="N50" i="6"/>
  <c r="D51" i="6"/>
  <c r="E51" i="6"/>
  <c r="F51" i="6"/>
  <c r="G51" i="6"/>
  <c r="H51" i="6"/>
  <c r="I51" i="6"/>
  <c r="J51" i="6"/>
  <c r="K51" i="6"/>
  <c r="L51" i="6"/>
  <c r="M51" i="6"/>
  <c r="N51" i="6"/>
  <c r="D52" i="6"/>
  <c r="E52" i="6"/>
  <c r="F52" i="6"/>
  <c r="G52" i="6"/>
  <c r="H52" i="6"/>
  <c r="I52" i="6"/>
  <c r="J52" i="6"/>
  <c r="K52" i="6"/>
  <c r="L52" i="6"/>
  <c r="M52" i="6"/>
  <c r="N52" i="6"/>
  <c r="D53" i="6"/>
  <c r="E53" i="6"/>
  <c r="F53" i="6"/>
  <c r="G53" i="6"/>
  <c r="H53" i="6"/>
  <c r="I53" i="6"/>
  <c r="J53" i="6"/>
  <c r="K53" i="6"/>
  <c r="L53" i="6"/>
  <c r="M53" i="6"/>
  <c r="N53" i="6"/>
  <c r="D54" i="6"/>
  <c r="E54" i="6"/>
  <c r="F54" i="6"/>
  <c r="G54" i="6"/>
  <c r="H54" i="6"/>
  <c r="I54" i="6"/>
  <c r="J54" i="6"/>
  <c r="K54" i="6"/>
  <c r="L54" i="6"/>
  <c r="M54" i="6"/>
  <c r="N54" i="6"/>
  <c r="D55" i="6"/>
  <c r="E55" i="6"/>
  <c r="F55" i="6"/>
  <c r="G55" i="6"/>
  <c r="H55" i="6"/>
  <c r="I55" i="6"/>
  <c r="J55" i="6"/>
  <c r="K55" i="6"/>
  <c r="L55" i="6"/>
  <c r="M55" i="6"/>
  <c r="N55" i="6"/>
  <c r="D56" i="6"/>
  <c r="E56" i="6"/>
  <c r="F56" i="6"/>
  <c r="G56" i="6"/>
  <c r="H56" i="6"/>
  <c r="I56" i="6"/>
  <c r="J56" i="6"/>
  <c r="K56" i="6"/>
  <c r="L56" i="6"/>
  <c r="M56" i="6"/>
  <c r="N56" i="6"/>
  <c r="D57" i="6"/>
  <c r="E57" i="6"/>
  <c r="F57" i="6"/>
  <c r="G57" i="6"/>
  <c r="H57" i="6"/>
  <c r="I57" i="6"/>
  <c r="J57" i="6"/>
  <c r="K57" i="6"/>
  <c r="L57" i="6"/>
  <c r="M57" i="6"/>
  <c r="N57" i="6"/>
  <c r="D58" i="6"/>
  <c r="E58" i="6"/>
  <c r="F58" i="6"/>
  <c r="G58" i="6"/>
  <c r="H58" i="6"/>
  <c r="I58" i="6"/>
  <c r="J58" i="6"/>
  <c r="K58" i="6"/>
  <c r="L58" i="6"/>
  <c r="M58" i="6"/>
  <c r="N58" i="6"/>
  <c r="D59" i="6"/>
  <c r="E59" i="6"/>
  <c r="F59" i="6"/>
  <c r="G59" i="6"/>
  <c r="H59" i="6"/>
  <c r="I59" i="6"/>
  <c r="J59" i="6"/>
  <c r="K59" i="6"/>
  <c r="L59" i="6"/>
  <c r="M59" i="6"/>
  <c r="N59" i="6"/>
  <c r="D60" i="6"/>
  <c r="E60" i="6"/>
  <c r="F60" i="6"/>
  <c r="G60" i="6"/>
  <c r="H60" i="6"/>
  <c r="I60" i="6"/>
  <c r="J60" i="6"/>
  <c r="K60" i="6"/>
  <c r="L60" i="6"/>
  <c r="M60" i="6"/>
  <c r="N60" i="6"/>
  <c r="D61" i="6"/>
  <c r="E61" i="6"/>
  <c r="F61" i="6"/>
  <c r="G61" i="6"/>
  <c r="H61" i="6"/>
  <c r="I61" i="6"/>
  <c r="J61" i="6"/>
  <c r="K61" i="6"/>
  <c r="L61" i="6"/>
  <c r="M61" i="6"/>
  <c r="N61" i="6"/>
  <c r="D62" i="6"/>
  <c r="E62" i="6"/>
  <c r="F62" i="6"/>
  <c r="G62" i="6"/>
  <c r="H62" i="6"/>
  <c r="I62" i="6"/>
  <c r="J62" i="6"/>
  <c r="K62" i="6"/>
  <c r="L62" i="6"/>
  <c r="M62" i="6"/>
  <c r="N62" i="6"/>
  <c r="D63" i="6"/>
  <c r="E63" i="6"/>
  <c r="F63" i="6"/>
  <c r="G63" i="6"/>
  <c r="H63" i="6"/>
  <c r="I63" i="6"/>
  <c r="J63" i="6"/>
  <c r="K63" i="6"/>
  <c r="L63" i="6"/>
  <c r="M63" i="6"/>
  <c r="N63" i="6"/>
  <c r="D64" i="6"/>
  <c r="E64" i="6"/>
  <c r="F64" i="6"/>
  <c r="G64" i="6"/>
  <c r="H64" i="6"/>
  <c r="I64" i="6"/>
  <c r="J64" i="6"/>
  <c r="K64" i="6"/>
  <c r="L64" i="6"/>
  <c r="M64" i="6"/>
  <c r="N64" i="6"/>
  <c r="D65" i="6"/>
  <c r="E65" i="6"/>
  <c r="F65" i="6"/>
  <c r="G65" i="6"/>
  <c r="H65" i="6"/>
  <c r="I65" i="6"/>
  <c r="J65" i="6"/>
  <c r="K65" i="6"/>
  <c r="L65" i="6"/>
  <c r="M65" i="6"/>
  <c r="N65" i="6"/>
  <c r="D66" i="6"/>
  <c r="E66" i="6"/>
  <c r="F66" i="6"/>
  <c r="G66" i="6"/>
  <c r="H66" i="6"/>
  <c r="I66" i="6"/>
  <c r="J66" i="6"/>
  <c r="K66" i="6"/>
  <c r="L66" i="6"/>
  <c r="M66" i="6"/>
  <c r="N66" i="6"/>
  <c r="D67" i="6"/>
  <c r="E67" i="6"/>
  <c r="F67" i="6"/>
  <c r="G67" i="6"/>
  <c r="H67" i="6"/>
  <c r="I67" i="6"/>
  <c r="J67" i="6"/>
  <c r="K67" i="6"/>
  <c r="L67" i="6"/>
  <c r="M67" i="6"/>
  <c r="N67" i="6"/>
  <c r="D68" i="6"/>
  <c r="E68" i="6"/>
  <c r="F68" i="6"/>
  <c r="G68" i="6"/>
  <c r="H68" i="6"/>
  <c r="I68" i="6"/>
  <c r="J68" i="6"/>
  <c r="K68" i="6"/>
  <c r="L68" i="6"/>
  <c r="M68" i="6"/>
  <c r="N68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40" i="2"/>
  <c r="AG40" i="2" s="1"/>
  <c r="D40" i="2"/>
  <c r="E40" i="2"/>
  <c r="F40" i="2"/>
  <c r="G40" i="2"/>
  <c r="AH40" i="2" s="1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C41" i="2"/>
  <c r="AG41" i="2" s="1"/>
  <c r="D41" i="2"/>
  <c r="E41" i="2"/>
  <c r="F41" i="2"/>
  <c r="G41" i="2"/>
  <c r="AH41" i="2" s="1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C42" i="2"/>
  <c r="AH42" i="2" s="1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C43" i="2"/>
  <c r="AH43" i="2" s="1"/>
  <c r="D43" i="2"/>
  <c r="AG43" i="2" s="1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C44" i="2"/>
  <c r="D44" i="2"/>
  <c r="E44" i="2"/>
  <c r="F44" i="2"/>
  <c r="G44" i="2"/>
  <c r="AH44" i="2" s="1"/>
  <c r="H44" i="2"/>
  <c r="AG44" i="2" s="1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C45" i="2"/>
  <c r="D45" i="2"/>
  <c r="AH45" i="2" s="1"/>
  <c r="E45" i="2"/>
  <c r="F45" i="2"/>
  <c r="G45" i="2"/>
  <c r="H45" i="2"/>
  <c r="I45" i="2"/>
  <c r="AG45" i="2" s="1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C46" i="2"/>
  <c r="AH46" i="2" s="1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C47" i="2"/>
  <c r="AG47" i="2" s="1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C48" i="2"/>
  <c r="AG48" i="2" s="1"/>
  <c r="D48" i="2"/>
  <c r="E48" i="2"/>
  <c r="AH48" i="2" s="1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C49" i="2"/>
  <c r="AG49" i="2" s="1"/>
  <c r="D49" i="2"/>
  <c r="AH49" i="2" s="1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C50" i="2"/>
  <c r="AH50" i="2" s="1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C51" i="2"/>
  <c r="AH51" i="2" s="1"/>
  <c r="D51" i="2"/>
  <c r="AG51" i="2" s="1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C52" i="2"/>
  <c r="D52" i="2"/>
  <c r="E52" i="2"/>
  <c r="F52" i="2"/>
  <c r="G52" i="2"/>
  <c r="AH52" i="2" s="1"/>
  <c r="H52" i="2"/>
  <c r="AG52" i="2" s="1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C53" i="2"/>
  <c r="D53" i="2"/>
  <c r="AH53" i="2" s="1"/>
  <c r="E53" i="2"/>
  <c r="F53" i="2"/>
  <c r="G53" i="2"/>
  <c r="H53" i="2"/>
  <c r="I53" i="2"/>
  <c r="AG53" i="2" s="1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C54" i="2"/>
  <c r="AH54" i="2" s="1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C55" i="2"/>
  <c r="AH55" i="2" s="1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C56" i="2"/>
  <c r="AG56" i="2" s="1"/>
  <c r="D56" i="2"/>
  <c r="E56" i="2"/>
  <c r="AH56" i="2" s="1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C57" i="2"/>
  <c r="AG57" i="2" s="1"/>
  <c r="D57" i="2"/>
  <c r="AH57" i="2" s="1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C58" i="2"/>
  <c r="AH58" i="2" s="1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C59" i="2"/>
  <c r="AH59" i="2" s="1"/>
  <c r="D59" i="2"/>
  <c r="AG59" i="2" s="1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C60" i="2"/>
  <c r="D60" i="2"/>
  <c r="E60" i="2"/>
  <c r="F60" i="2"/>
  <c r="G60" i="2"/>
  <c r="AH60" i="2" s="1"/>
  <c r="H60" i="2"/>
  <c r="AG60" i="2" s="1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C61" i="2"/>
  <c r="AH61" i="2" s="1"/>
  <c r="D61" i="2"/>
  <c r="AG61" i="2" s="1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C62" i="2"/>
  <c r="AH62" i="2" s="1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C63" i="2"/>
  <c r="AG63" i="2" s="1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C64" i="2"/>
  <c r="AG64" i="2" s="1"/>
  <c r="D64" i="2"/>
  <c r="E64" i="2"/>
  <c r="AH64" i="2" s="1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C65" i="2"/>
  <c r="AG65" i="2" s="1"/>
  <c r="D65" i="2"/>
  <c r="AH65" i="2" s="1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C66" i="2"/>
  <c r="AH66" i="2" s="1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C67" i="2"/>
  <c r="AH67" i="2" s="1"/>
  <c r="D67" i="2"/>
  <c r="AG67" i="2" s="1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C68" i="2"/>
  <c r="D68" i="2"/>
  <c r="E68" i="2"/>
  <c r="F68" i="2"/>
  <c r="G68" i="2"/>
  <c r="AH68" i="2" s="1"/>
  <c r="H68" i="2"/>
  <c r="AG68" i="2" s="1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D39" i="2"/>
  <c r="E39" i="2"/>
  <c r="AG39" i="2" s="1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C39" i="2"/>
  <c r="AH39" i="2" s="1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6" i="4"/>
  <c r="W5" i="4"/>
  <c r="W4" i="4"/>
  <c r="W3" i="4"/>
  <c r="W2" i="4"/>
  <c r="AG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AI71" i="2" l="1"/>
  <c r="AG46" i="2"/>
  <c r="AG54" i="2"/>
  <c r="AG62" i="2"/>
  <c r="AG55" i="2"/>
  <c r="AH47" i="2"/>
  <c r="AH71" i="2" s="1"/>
  <c r="AH63" i="2"/>
  <c r="AG42" i="2"/>
  <c r="AG69" i="2" s="1"/>
  <c r="AG50" i="2"/>
  <c r="AG71" i="2" s="1"/>
  <c r="AG58" i="2"/>
  <c r="AG66" i="2"/>
  <c r="P71" i="6"/>
  <c r="P70" i="6"/>
  <c r="P69" i="6"/>
  <c r="AH56" i="11"/>
  <c r="AG61" i="11"/>
  <c r="AH41" i="11"/>
  <c r="AH40" i="11"/>
  <c r="AH54" i="11"/>
  <c r="AH53" i="11"/>
  <c r="AH39" i="11"/>
  <c r="AG53" i="11"/>
  <c r="AH55" i="11"/>
  <c r="AG51" i="11"/>
  <c r="AG67" i="11"/>
  <c r="AH65" i="11"/>
  <c r="AH67" i="11"/>
  <c r="AH45" i="11"/>
  <c r="AH50" i="11"/>
  <c r="AH52" i="11"/>
  <c r="AH66" i="11"/>
  <c r="AH49" i="11"/>
  <c r="AG49" i="11"/>
  <c r="AH51" i="11"/>
  <c r="AG65" i="11"/>
  <c r="AG47" i="11"/>
  <c r="AG63" i="11"/>
  <c r="AH62" i="11"/>
  <c r="AG64" i="11"/>
  <c r="AH61" i="11"/>
  <c r="AH63" i="11"/>
  <c r="AG59" i="11"/>
  <c r="AH47" i="11"/>
  <c r="AH42" i="11"/>
  <c r="AH58" i="11"/>
  <c r="AH60" i="11"/>
  <c r="AH57" i="11"/>
  <c r="AH59" i="11"/>
  <c r="AG45" i="11"/>
  <c r="AG43" i="11"/>
  <c r="AH44" i="11"/>
  <c r="AG41" i="11"/>
  <c r="AH43" i="11"/>
  <c r="AG57" i="11"/>
  <c r="AG39" i="11"/>
  <c r="AG55" i="11"/>
  <c r="O58" i="6"/>
  <c r="O42" i="6"/>
  <c r="O54" i="6"/>
  <c r="O62" i="6"/>
  <c r="O66" i="6"/>
  <c r="O46" i="6"/>
  <c r="O50" i="6"/>
  <c r="O39" i="6"/>
  <c r="O43" i="6"/>
  <c r="O55" i="6"/>
  <c r="O59" i="6"/>
  <c r="O63" i="6"/>
  <c r="O67" i="6"/>
  <c r="O65" i="6"/>
  <c r="O61" i="6"/>
  <c r="O57" i="6"/>
  <c r="O53" i="6"/>
  <c r="O49" i="6"/>
  <c r="O45" i="6"/>
  <c r="O41" i="6"/>
  <c r="O51" i="6"/>
  <c r="O40" i="6"/>
  <c r="O44" i="6"/>
  <c r="O48" i="6"/>
  <c r="O52" i="6"/>
  <c r="O56" i="6"/>
  <c r="O60" i="6"/>
  <c r="O64" i="6"/>
  <c r="O68" i="6"/>
  <c r="O47" i="6"/>
  <c r="AG40" i="11"/>
  <c r="AG56" i="11"/>
  <c r="AG60" i="11"/>
  <c r="AG68" i="11"/>
  <c r="AH48" i="11"/>
  <c r="AH71" i="11" s="1"/>
  <c r="AH64" i="11"/>
  <c r="AG32" i="11"/>
  <c r="AG33" i="11" s="1"/>
  <c r="AG42" i="11"/>
  <c r="AG46" i="11"/>
  <c r="AG50" i="11"/>
  <c r="AG54" i="11"/>
  <c r="AG58" i="11"/>
  <c r="AG62" i="11"/>
  <c r="AG66" i="11"/>
  <c r="AG44" i="11"/>
  <c r="AG52" i="11"/>
  <c r="AH70" i="2"/>
  <c r="AH69" i="2"/>
  <c r="O32" i="6"/>
  <c r="O33" i="6" s="1"/>
  <c r="W32" i="4"/>
  <c r="W33" i="4" s="1"/>
  <c r="AG32" i="2"/>
  <c r="AG33" i="2" s="1"/>
  <c r="C32" i="6"/>
  <c r="D32" i="6"/>
  <c r="E32" i="6"/>
  <c r="F32" i="6"/>
  <c r="G32" i="6"/>
  <c r="H32" i="6"/>
  <c r="I32" i="6"/>
  <c r="J32" i="6"/>
  <c r="K32" i="6"/>
  <c r="L32" i="6"/>
  <c r="M32" i="6"/>
  <c r="N32" i="6"/>
  <c r="B32" i="6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B32" i="2"/>
  <c r="B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D32" i="4"/>
  <c r="E32" i="4"/>
  <c r="F32" i="4"/>
  <c r="C32" i="4"/>
  <c r="AG70" i="2" l="1"/>
  <c r="O69" i="6"/>
  <c r="AG71" i="11"/>
  <c r="AG70" i="11"/>
  <c r="O71" i="6"/>
  <c r="O70" i="6"/>
  <c r="AH70" i="11"/>
  <c r="AG69" i="11"/>
  <c r="AH69" i="11"/>
</calcChain>
</file>

<file path=xl/sharedStrings.xml><?xml version="1.0" encoding="utf-8"?>
<sst xmlns="http://schemas.openxmlformats.org/spreadsheetml/2006/main" count="435" uniqueCount="184">
  <si>
    <t>Estimate</t>
  </si>
  <si>
    <t>z-value</t>
  </si>
  <si>
    <t>Pr(&gt;|z|)</t>
  </si>
  <si>
    <t>MRS</t>
  </si>
  <si>
    <t>(Intercept):2</t>
  </si>
  <si>
    <t>x1</t>
  </si>
  <si>
    <t>x2</t>
  </si>
  <si>
    <t>x3</t>
  </si>
  <si>
    <t>s11:2</t>
  </si>
  <si>
    <t>s12:2</t>
  </si>
  <si>
    <t>s21:2</t>
  </si>
  <si>
    <t>s22:2</t>
  </si>
  <si>
    <t>e11:2</t>
  </si>
  <si>
    <t>e12:2</t>
  </si>
  <si>
    <t>e21:2</t>
  </si>
  <si>
    <t>e22:2</t>
  </si>
  <si>
    <t>o11:2</t>
  </si>
  <si>
    <t>o12:2</t>
  </si>
  <si>
    <t>o13:2</t>
  </si>
  <si>
    <t>Std. Error</t>
  </si>
  <si>
    <t>rho_ts</t>
  </si>
  <si>
    <t>ASC_2_class_1</t>
  </si>
  <si>
    <t>x1_class_1</t>
  </si>
  <si>
    <t>x2_class_1</t>
  </si>
  <si>
    <t>x3_class_1</t>
  </si>
  <si>
    <t>e1_e11_alt_2_class_1</t>
  </si>
  <si>
    <t>e1_e12_alt_2_class_1</t>
  </si>
  <si>
    <t>e1_e13_alt_2_class_1</t>
  </si>
  <si>
    <t>e2_e21_alt_2_class_1</t>
  </si>
  <si>
    <t>e2_e22_alt_2_class_1</t>
  </si>
  <si>
    <t>e2_e23_alt_2_class_1</t>
  </si>
  <si>
    <t>s1_s11_alt_2_class_1</t>
  </si>
  <si>
    <t>s1_s12_alt_2_class_1</t>
  </si>
  <si>
    <t>s1_s13_alt_2_class_1</t>
  </si>
  <si>
    <t>s2_s21_alt_2_class_1</t>
  </si>
  <si>
    <t>s2_s22_alt_2_class_1</t>
  </si>
  <si>
    <t>s2_s23_alt_2_class_1</t>
  </si>
  <si>
    <t>o1_o11_alt_2_class_1</t>
  </si>
  <si>
    <t>o1_o12_alt_2_class_1</t>
  </si>
  <si>
    <t>o1_o13_alt_2_class_1</t>
  </si>
  <si>
    <t>o1_o14_alt_2_class_1</t>
  </si>
  <si>
    <t>Model_31</t>
  </si>
  <si>
    <t>Model_89</t>
  </si>
  <si>
    <t>Model_93</t>
  </si>
  <si>
    <t>Model_147</t>
  </si>
  <si>
    <t>Model_163</t>
  </si>
  <si>
    <t>Model_199</t>
  </si>
  <si>
    <t>ASC_2_class_2</t>
  </si>
  <si>
    <t>x1_class_2</t>
  </si>
  <si>
    <t>x2_class_2</t>
  </si>
  <si>
    <t>x3_class_2</t>
  </si>
  <si>
    <t>e1_e11_alt_2_class_2</t>
  </si>
  <si>
    <t>e1_e12_alt_2_class_2</t>
  </si>
  <si>
    <t>e1_e13_alt_2_class_2</t>
  </si>
  <si>
    <t>e2_e21_alt_2_class_2</t>
  </si>
  <si>
    <t>e2_e22_alt_2_class_2</t>
  </si>
  <si>
    <t>e2_e23_alt_2_class_2</t>
  </si>
  <si>
    <t>ASC_2_class_3</t>
  </si>
  <si>
    <t>x1_class_3</t>
  </si>
  <si>
    <t>x2_class_3</t>
  </si>
  <si>
    <t>x3_class_3</t>
  </si>
  <si>
    <t>e1_e11_alt_2_class_3</t>
  </si>
  <si>
    <t>e1_e12_alt_2_class_3</t>
  </si>
  <si>
    <t>e1_e13_alt_2_class_3</t>
  </si>
  <si>
    <t>e2_e21_alt_2_class_3</t>
  </si>
  <si>
    <t>e2_e22_alt_2_class_3</t>
  </si>
  <si>
    <t>e2_e23_alt_2_class_3</t>
  </si>
  <si>
    <t>Model_201</t>
  </si>
  <si>
    <t>Model_296</t>
  </si>
  <si>
    <t>Model_435</t>
  </si>
  <si>
    <t>ind</t>
  </si>
  <si>
    <t>ASC_2</t>
  </si>
  <si>
    <t>e11</t>
  </si>
  <si>
    <t>e12</t>
  </si>
  <si>
    <t>e13</t>
  </si>
  <si>
    <t>e21</t>
  </si>
  <si>
    <t>e22</t>
  </si>
  <si>
    <t>e23</t>
  </si>
  <si>
    <t>Model_131</t>
  </si>
  <si>
    <t>Model_142</t>
  </si>
  <si>
    <t>Model_233</t>
  </si>
  <si>
    <t>GroundTruth</t>
  </si>
  <si>
    <t>Core</t>
  </si>
  <si>
    <t>All</t>
  </si>
  <si>
    <t>Model_90</t>
  </si>
  <si>
    <t>Model_209</t>
  </si>
  <si>
    <t>Model_567</t>
  </si>
  <si>
    <t>Model_18</t>
  </si>
  <si>
    <t>Model_19</t>
  </si>
  <si>
    <t>Model_21</t>
  </si>
  <si>
    <t>Model_33</t>
  </si>
  <si>
    <t>Model_38</t>
  </si>
  <si>
    <t>Model_42</t>
  </si>
  <si>
    <t>Model_51</t>
  </si>
  <si>
    <t>Model_79</t>
  </si>
  <si>
    <t>Model_81</t>
  </si>
  <si>
    <t>Model_106</t>
  </si>
  <si>
    <t>Model_111</t>
  </si>
  <si>
    <t>Model_121</t>
  </si>
  <si>
    <t>Model_137</t>
  </si>
  <si>
    <t>Model_141</t>
  </si>
  <si>
    <t>Model_155</t>
  </si>
  <si>
    <t>Model_156</t>
  </si>
  <si>
    <t>Model_168</t>
  </si>
  <si>
    <t>Model_182</t>
  </si>
  <si>
    <t>Model_203</t>
  </si>
  <si>
    <t>Model_217</t>
  </si>
  <si>
    <t>Model_238</t>
  </si>
  <si>
    <t>Model_239</t>
  </si>
  <si>
    <t>Model_261</t>
  </si>
  <si>
    <t>Model_272</t>
  </si>
  <si>
    <t>Model_276</t>
  </si>
  <si>
    <t>Model_281</t>
  </si>
  <si>
    <t>Model_283</t>
  </si>
  <si>
    <t>Model_10</t>
  </si>
  <si>
    <t>Model_25</t>
  </si>
  <si>
    <t>Model_32</t>
  </si>
  <si>
    <t>Model_48</t>
  </si>
  <si>
    <t>Model_60</t>
  </si>
  <si>
    <t>Model_83</t>
  </si>
  <si>
    <t>Model_100</t>
  </si>
  <si>
    <t>Model_246</t>
  </si>
  <si>
    <t>Model_277</t>
  </si>
  <si>
    <t>Model_320</t>
  </si>
  <si>
    <t>Model_326</t>
  </si>
  <si>
    <t>Model_369</t>
  </si>
  <si>
    <t>Model_376</t>
  </si>
  <si>
    <t>Model_394</t>
  </si>
  <si>
    <t>Model_410</t>
  </si>
  <si>
    <t>Model_440</t>
  </si>
  <si>
    <t>Model_472</t>
  </si>
  <si>
    <t>Model_485</t>
  </si>
  <si>
    <t>Model_487</t>
  </si>
  <si>
    <t>Model_541</t>
  </si>
  <si>
    <t>Model_581</t>
  </si>
  <si>
    <t>Model_586</t>
  </si>
  <si>
    <t>Model_593</t>
  </si>
  <si>
    <t>Model_76</t>
  </si>
  <si>
    <t>Model_101</t>
  </si>
  <si>
    <t>Model_207</t>
  </si>
  <si>
    <t>Model_244</t>
  </si>
  <si>
    <t>Model_16</t>
  </si>
  <si>
    <t>Model_34</t>
  </si>
  <si>
    <t>Model_47</t>
  </si>
  <si>
    <t>Model_88</t>
  </si>
  <si>
    <t>Model_112</t>
  </si>
  <si>
    <t>Model_113</t>
  </si>
  <si>
    <t>Model_123</t>
  </si>
  <si>
    <t>Model_167</t>
  </si>
  <si>
    <t>Model_175</t>
  </si>
  <si>
    <t>Model_185</t>
  </si>
  <si>
    <t>Model_213</t>
  </si>
  <si>
    <t>Model_229</t>
  </si>
  <si>
    <t>RAE</t>
  </si>
  <si>
    <t>CoreMRAE</t>
  </si>
  <si>
    <t>AllMRAE</t>
  </si>
  <si>
    <t>mean</t>
  </si>
  <si>
    <t>sd</t>
  </si>
  <si>
    <t>min</t>
  </si>
  <si>
    <t>Model_8</t>
  </si>
  <si>
    <t>Model_98</t>
  </si>
  <si>
    <t>Model_191</t>
  </si>
  <si>
    <t>Model_270</t>
  </si>
  <si>
    <t>Rho</t>
  </si>
  <si>
    <t>Model_5</t>
  </si>
  <si>
    <t>Model_44</t>
  </si>
  <si>
    <t>Model_65</t>
  </si>
  <si>
    <t>Model_91</t>
  </si>
  <si>
    <t>Model_103</t>
  </si>
  <si>
    <t>Model_105</t>
  </si>
  <si>
    <t>Model_109</t>
  </si>
  <si>
    <t>Model_130</t>
  </si>
  <si>
    <t>Model_152</t>
  </si>
  <si>
    <t>Model_177</t>
  </si>
  <si>
    <t>Model_202</t>
  </si>
  <si>
    <t>Model_204</t>
  </si>
  <si>
    <t>Model_220</t>
  </si>
  <si>
    <t>Model_235</t>
  </si>
  <si>
    <t>Model_236</t>
  </si>
  <si>
    <t>Model_289</t>
  </si>
  <si>
    <t>Model_312</t>
  </si>
  <si>
    <t>Model_346</t>
  </si>
  <si>
    <t>Model_349</t>
  </si>
  <si>
    <t>Model_368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</si>
</sst>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2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2" fontId="0" fillId="0" borderId="0" xfId="0" applyNumberFormat="1"/>
    <xf numFmtId="0" fontId="1" fillId="0" borderId="0" xfId="0" applyFont="1"/>
    <xf numFmtId="166" fontId="0" fillId="0" borderId="0" xfId="0" applyNumberFormat="1"/>
    <xf numFmtId="0" fontId="0" fillId="3" borderId="0" xfId="0" applyFill="1"/>
    <xf numFmtId="2" fontId="0" fillId="3" borderId="0" xfId="0" applyNumberFormat="1" applyFill="1"/>
    <xf numFmtId="2" fontId="1" fillId="0" borderId="0" xfId="0" applyNumberFormat="1" applyFont="1" applyAlignment="1">
      <alignment horizontal="right"/>
    </xf>
    <xf numFmtId="165" fontId="0" fillId="3" borderId="0" xfId="0" applyNumberFormat="1" applyFill="1"/>
    <xf numFmtId="165" fontId="0" fillId="0" borderId="0" xfId="0" applyNumberFormat="1"/>
    <xf numFmtId="166" fontId="0" fillId="3" borderId="0" xfId="0" applyNumberFormat="1" applyFill="1"/>
    <xf numFmtId="0" fontId="0" fillId="0" borderId="0" xfId="0" applyFill="1"/>
    <xf numFmtId="0" fontId="1" fillId="0" borderId="0" xfId="0" applyFont="1" applyFill="1" applyAlignment="1">
      <alignment horizontal="right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workbookViewId="0">
      <selection activeCell="J18" sqref="J18"/>
    </sheetView>
  </sheetViews>
  <sheetFormatPr defaultRowHeight="14.5" x14ac:dyDescent="0.35"/>
  <cols>
    <col min="1" max="1" width="15.54296875" customWidth="1"/>
    <col min="3" max="3" width="10.453125" customWidth="1"/>
  </cols>
  <sheetData>
    <row r="1" spans="1:6" x14ac:dyDescent="0.35">
      <c r="A1">
        <v>0.15062429999999999</v>
      </c>
      <c r="B1" t="s">
        <v>0</v>
      </c>
      <c r="C1" t="s">
        <v>19</v>
      </c>
      <c r="D1" t="s">
        <v>1</v>
      </c>
      <c r="E1" t="s">
        <v>2</v>
      </c>
      <c r="F1" t="s">
        <v>3</v>
      </c>
    </row>
    <row r="2" spans="1:6" x14ac:dyDescent="0.35">
      <c r="A2" t="s">
        <v>4</v>
      </c>
      <c r="B2">
        <v>3.2924823000000001</v>
      </c>
      <c r="C2">
        <v>0.115839786</v>
      </c>
      <c r="D2">
        <v>28.422723999999999</v>
      </c>
      <c r="E2">
        <v>0</v>
      </c>
      <c r="F2" s="16">
        <v>-12.052822000000001</v>
      </c>
    </row>
    <row r="3" spans="1:6" x14ac:dyDescent="0.35">
      <c r="A3" t="s">
        <v>5</v>
      </c>
      <c r="B3">
        <v>-0.2731711</v>
      </c>
      <c r="C3">
        <v>9.8127379999999997E-3</v>
      </c>
      <c r="D3">
        <v>-27.838415999999999</v>
      </c>
      <c r="E3">
        <v>0</v>
      </c>
      <c r="F3" s="16">
        <v>1</v>
      </c>
    </row>
    <row r="4" spans="1:6" x14ac:dyDescent="0.35">
      <c r="A4" t="s">
        <v>6</v>
      </c>
      <c r="B4">
        <v>-0.36705310000000002</v>
      </c>
      <c r="C4">
        <v>1.1165985999999999E-2</v>
      </c>
      <c r="D4">
        <v>-32.872430999999999</v>
      </c>
      <c r="E4">
        <v>0</v>
      </c>
      <c r="F4" s="16">
        <v>1.343675</v>
      </c>
    </row>
    <row r="5" spans="1:6" x14ac:dyDescent="0.35">
      <c r="A5" t="s">
        <v>7</v>
      </c>
      <c r="B5">
        <v>-0.22697890000000001</v>
      </c>
      <c r="C5">
        <v>4.1405055000000003E-2</v>
      </c>
      <c r="D5">
        <v>-5.4819129999999996</v>
      </c>
      <c r="E5">
        <v>4.2075010000000001E-8</v>
      </c>
      <c r="F5" s="16">
        <v>0.83090399999999998</v>
      </c>
    </row>
    <row r="6" spans="1:6" x14ac:dyDescent="0.35">
      <c r="A6">
        <v>-1471.856</v>
      </c>
    </row>
    <row r="8" spans="1:6" x14ac:dyDescent="0.35">
      <c r="A8">
        <v>0.54603389999999996</v>
      </c>
      <c r="B8" t="s">
        <v>0</v>
      </c>
      <c r="C8" t="s">
        <v>19</v>
      </c>
      <c r="D8" t="s">
        <v>1</v>
      </c>
      <c r="E8" t="s">
        <v>2</v>
      </c>
      <c r="F8" t="s">
        <v>3</v>
      </c>
    </row>
    <row r="9" spans="1:6" x14ac:dyDescent="0.35">
      <c r="A9" t="s">
        <v>4</v>
      </c>
      <c r="B9">
        <v>2.4096700100000001</v>
      </c>
      <c r="C9">
        <v>0.27907166999999999</v>
      </c>
      <c r="D9">
        <v>8.6345921000000008</v>
      </c>
      <c r="E9">
        <v>0</v>
      </c>
      <c r="F9" s="16">
        <v>-4.3061489899999996</v>
      </c>
    </row>
    <row r="10" spans="1:6" x14ac:dyDescent="0.35">
      <c r="A10" t="s">
        <v>5</v>
      </c>
      <c r="B10">
        <v>-0.55958816</v>
      </c>
      <c r="C10">
        <v>1.647206E-2</v>
      </c>
      <c r="D10">
        <v>-33.971970200000001</v>
      </c>
      <c r="E10">
        <v>0</v>
      </c>
      <c r="F10" s="16">
        <v>1</v>
      </c>
    </row>
    <row r="11" spans="1:6" x14ac:dyDescent="0.35">
      <c r="A11" t="s">
        <v>6</v>
      </c>
      <c r="B11">
        <v>-0.79292039999999997</v>
      </c>
      <c r="C11">
        <v>2.0698939999999999E-2</v>
      </c>
      <c r="D11">
        <v>-38.307289500000003</v>
      </c>
      <c r="E11">
        <v>0</v>
      </c>
      <c r="F11" s="16">
        <v>1.4169713500000001</v>
      </c>
    </row>
    <row r="12" spans="1:6" x14ac:dyDescent="0.35">
      <c r="A12" t="s">
        <v>7</v>
      </c>
      <c r="B12">
        <v>-0.35735600000000001</v>
      </c>
      <c r="C12">
        <v>5.8973150000000002E-2</v>
      </c>
      <c r="D12">
        <v>-6.0596389999999998</v>
      </c>
      <c r="E12">
        <v>1.3642739999999999E-9</v>
      </c>
      <c r="F12" s="16">
        <v>0.63860536000000001</v>
      </c>
    </row>
    <row r="13" spans="1:6" x14ac:dyDescent="0.35">
      <c r="A13" t="s">
        <v>8</v>
      </c>
      <c r="B13">
        <v>-0.98550914999999994</v>
      </c>
      <c r="C13">
        <v>0.16061748000000001</v>
      </c>
      <c r="D13">
        <v>-6.1357527999999997</v>
      </c>
      <c r="E13">
        <v>8.4756850000000004E-10</v>
      </c>
      <c r="F13" s="16">
        <v>1.7611329499999999</v>
      </c>
    </row>
    <row r="14" spans="1:6" x14ac:dyDescent="0.35">
      <c r="A14" t="s">
        <v>9</v>
      </c>
      <c r="B14">
        <v>0.93416655000000004</v>
      </c>
      <c r="C14">
        <v>0.16026125999999999</v>
      </c>
      <c r="D14">
        <v>5.8290227999999997</v>
      </c>
      <c r="E14">
        <v>5.5752900000000001E-9</v>
      </c>
      <c r="F14" s="16">
        <v>-1.6693822599999999</v>
      </c>
    </row>
    <row r="15" spans="1:6" x14ac:dyDescent="0.35">
      <c r="A15" t="s">
        <v>10</v>
      </c>
      <c r="B15">
        <v>1.8332708200000001</v>
      </c>
      <c r="C15">
        <v>9.9802119999999994E-2</v>
      </c>
      <c r="D15">
        <v>18.3690575</v>
      </c>
      <c r="E15">
        <v>0</v>
      </c>
      <c r="F15" s="16">
        <v>-3.2761072200000001</v>
      </c>
    </row>
    <row r="16" spans="1:6" x14ac:dyDescent="0.35">
      <c r="A16" t="s">
        <v>11</v>
      </c>
      <c r="B16">
        <v>4.1689469999999999E-2</v>
      </c>
      <c r="C16">
        <v>0.14818034999999999</v>
      </c>
      <c r="D16">
        <v>0.2813428</v>
      </c>
      <c r="E16">
        <v>0.77844749999999996</v>
      </c>
      <c r="F16" s="16">
        <v>-7.4500269999999993E-2</v>
      </c>
    </row>
    <row r="17" spans="1:6" x14ac:dyDescent="0.35">
      <c r="A17" t="s">
        <v>12</v>
      </c>
      <c r="B17">
        <v>6.3822395399999996</v>
      </c>
      <c r="C17">
        <v>0.15887466</v>
      </c>
      <c r="D17">
        <v>40.171538400000003</v>
      </c>
      <c r="E17">
        <v>0</v>
      </c>
      <c r="F17" s="16">
        <v>-11.405244</v>
      </c>
    </row>
    <row r="18" spans="1:6" x14ac:dyDescent="0.35">
      <c r="A18" t="s">
        <v>13</v>
      </c>
      <c r="B18">
        <v>2.2530555200000002</v>
      </c>
      <c r="C18">
        <v>0.12467457999999999</v>
      </c>
      <c r="D18">
        <v>18.071490699999998</v>
      </c>
      <c r="E18">
        <v>0</v>
      </c>
      <c r="F18" s="16">
        <v>-4.0262744399999999</v>
      </c>
    </row>
    <row r="19" spans="1:6" x14ac:dyDescent="0.35">
      <c r="A19" t="s">
        <v>14</v>
      </c>
      <c r="B19">
        <v>-1.4031746899999999</v>
      </c>
      <c r="C19">
        <v>0.10779009000000001</v>
      </c>
      <c r="D19">
        <v>-13.017659399999999</v>
      </c>
      <c r="E19">
        <v>0</v>
      </c>
      <c r="F19" s="16">
        <v>2.5075131700000002</v>
      </c>
    </row>
    <row r="20" spans="1:6" x14ac:dyDescent="0.35">
      <c r="A20" t="s">
        <v>15</v>
      </c>
      <c r="B20">
        <v>-0.77741355000000001</v>
      </c>
      <c r="C20">
        <v>9.1164899999999993E-2</v>
      </c>
      <c r="D20">
        <v>-8.5275531999999998</v>
      </c>
      <c r="E20">
        <v>0</v>
      </c>
      <c r="F20" s="16">
        <v>1.38926017</v>
      </c>
    </row>
    <row r="21" spans="1:6" x14ac:dyDescent="0.35">
      <c r="A21" t="s">
        <v>16</v>
      </c>
      <c r="B21">
        <v>6.246786E-2</v>
      </c>
      <c r="C21">
        <v>0.12634767</v>
      </c>
      <c r="D21">
        <v>0.49441239999999997</v>
      </c>
      <c r="E21">
        <v>0.62101490000000004</v>
      </c>
      <c r="F21" s="16">
        <v>-0.11163184</v>
      </c>
    </row>
    <row r="22" spans="1:6" x14ac:dyDescent="0.35">
      <c r="A22" t="s">
        <v>17</v>
      </c>
      <c r="B22">
        <v>9.3943369999999998E-2</v>
      </c>
      <c r="C22">
        <v>0.12008816999999999</v>
      </c>
      <c r="D22">
        <v>0.7822867</v>
      </c>
      <c r="E22">
        <v>0.43404609999999999</v>
      </c>
      <c r="F22" s="16">
        <v>-0.16787948</v>
      </c>
    </row>
    <row r="23" spans="1:6" x14ac:dyDescent="0.35">
      <c r="A23" t="s">
        <v>18</v>
      </c>
      <c r="B23">
        <v>0.14685859000000001</v>
      </c>
      <c r="C23">
        <v>0.11633072</v>
      </c>
      <c r="D23">
        <v>1.2624230999999999</v>
      </c>
      <c r="E23">
        <v>0.2067966</v>
      </c>
      <c r="F23" s="16">
        <v>-0.26244047999999998</v>
      </c>
    </row>
    <row r="24" spans="1:6" x14ac:dyDescent="0.35">
      <c r="A24">
        <v>-786.66319999999996</v>
      </c>
      <c r="F24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7C2EC-1DCA-476C-982B-BF58E846165C}">
  <dimension ref="A1:AB63"/>
  <sheetViews>
    <sheetView workbookViewId="0">
      <selection activeCell="W19" sqref="W19"/>
    </sheetView>
  </sheetViews>
  <sheetFormatPr defaultRowHeight="14.5" x14ac:dyDescent="0.35"/>
  <cols>
    <col min="1" max="1" width="12.81640625" customWidth="1"/>
    <col min="2" max="2" width="11.453125" style="1" customWidth="1"/>
    <col min="3" max="3" width="9.81640625" style="1" customWidth="1"/>
    <col min="4" max="4" width="9.453125" style="1" customWidth="1"/>
    <col min="5" max="5" width="9.1796875" style="1" customWidth="1"/>
    <col min="6" max="6" width="11" style="1" customWidth="1"/>
    <col min="7" max="7" width="20.453125" customWidth="1"/>
    <col min="8" max="8" width="21" customWidth="1"/>
    <col min="9" max="9" width="15.54296875" customWidth="1"/>
    <col min="10" max="10" width="16.453125" customWidth="1"/>
    <col min="11" max="11" width="19.453125" customWidth="1"/>
    <col min="12" max="12" width="20.7265625" customWidth="1"/>
    <col min="23" max="23" width="8.7265625" style="1"/>
    <col min="25" max="25" width="20.1796875" customWidth="1"/>
    <col min="26" max="26" width="10.54296875" bestFit="1" customWidth="1"/>
  </cols>
  <sheetData>
    <row r="1" spans="1:28" x14ac:dyDescent="0.35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s="5">
        <v>-1732.8679999999999</v>
      </c>
    </row>
    <row r="2" spans="1:28" x14ac:dyDescent="0.35">
      <c r="A2" t="s">
        <v>87</v>
      </c>
      <c r="B2" s="1">
        <v>0.54676151275634699</v>
      </c>
      <c r="C2" s="3">
        <v>0.95304411649703902</v>
      </c>
      <c r="D2" s="3">
        <v>1</v>
      </c>
      <c r="E2" s="3">
        <v>1.4225590229034399</v>
      </c>
      <c r="F2" s="3">
        <v>0.61018049716949396</v>
      </c>
      <c r="G2">
        <v>-7.3240289688110298</v>
      </c>
      <c r="H2">
        <v>3.4916207194328301E-2</v>
      </c>
      <c r="I2">
        <v>4.2711586952209402</v>
      </c>
      <c r="J2">
        <v>5.8202534914016703E-2</v>
      </c>
      <c r="K2">
        <v>-1.0020616054534901</v>
      </c>
      <c r="L2">
        <v>-2.4248294830322199</v>
      </c>
      <c r="M2">
        <v>1.20132791996002</v>
      </c>
      <c r="N2">
        <v>-2.2814586162567099</v>
      </c>
      <c r="O2">
        <v>-0.600302875041961</v>
      </c>
      <c r="P2">
        <v>-9.5566701889037997</v>
      </c>
      <c r="Q2">
        <v>-6.2737298011779696</v>
      </c>
      <c r="R2">
        <v>-6.2044272422790501</v>
      </c>
      <c r="S2">
        <v>-0.10583446174860001</v>
      </c>
      <c r="T2">
        <v>-0.145887956023216</v>
      </c>
      <c r="U2">
        <v>-0.25774061679839999</v>
      </c>
      <c r="V2">
        <v>2.02894415706396E-2</v>
      </c>
      <c r="W2" s="5">
        <f>(1-B2)*$W$1</f>
        <v>-785.40247091293452</v>
      </c>
    </row>
    <row r="3" spans="1:28" x14ac:dyDescent="0.35">
      <c r="A3" t="s">
        <v>88</v>
      </c>
      <c r="B3" s="1">
        <v>0.54707884788513095</v>
      </c>
      <c r="C3" s="3">
        <v>-1.9390057325363099</v>
      </c>
      <c r="D3" s="3">
        <v>1</v>
      </c>
      <c r="E3" s="3">
        <v>1.4226940870285001</v>
      </c>
      <c r="F3" s="3">
        <v>0.58699160814285201</v>
      </c>
      <c r="G3">
        <v>-5.74680423736572</v>
      </c>
      <c r="H3">
        <v>1.5946077108383101</v>
      </c>
      <c r="I3">
        <v>5.7403645515441797</v>
      </c>
      <c r="J3">
        <v>-2.7970077991485498</v>
      </c>
      <c r="K3">
        <v>-3.7287449836730899</v>
      </c>
      <c r="L3">
        <v>-5.1819758415222097</v>
      </c>
      <c r="M3">
        <v>1.5336103439330999</v>
      </c>
      <c r="N3">
        <v>-1.9511178731918299</v>
      </c>
      <c r="O3">
        <v>-0.26624885201454102</v>
      </c>
      <c r="P3">
        <v>-5.5069403648376403</v>
      </c>
      <c r="Q3">
        <v>-2.17842316627502</v>
      </c>
      <c r="R3">
        <v>-2.1135058403015101</v>
      </c>
      <c r="S3">
        <v>-0.32670107483863797</v>
      </c>
      <c r="T3">
        <v>-0.37430211901664701</v>
      </c>
      <c r="U3">
        <v>-0.46139302849769498</v>
      </c>
      <c r="V3">
        <v>-0.226128429174423</v>
      </c>
      <c r="W3" s="5">
        <f t="shared" ref="W3:W31" si="0">(1-B3)*$W$1</f>
        <v>-784.85257102298885</v>
      </c>
      <c r="Y3" s="20"/>
      <c r="Z3" s="20"/>
      <c r="AA3" s="20"/>
      <c r="AB3" s="20"/>
    </row>
    <row r="4" spans="1:28" x14ac:dyDescent="0.35">
      <c r="A4" t="s">
        <v>89</v>
      </c>
      <c r="B4" s="1">
        <v>0.54700994491577104</v>
      </c>
      <c r="C4" s="3">
        <v>-6.3238372802734304</v>
      </c>
      <c r="D4" s="3">
        <v>1</v>
      </c>
      <c r="E4" s="3">
        <v>1.42161560058593</v>
      </c>
      <c r="F4" s="3">
        <v>0.61230802536010698</v>
      </c>
      <c r="G4">
        <v>-5.7344627380370996</v>
      </c>
      <c r="H4">
        <v>1.5812284946441599</v>
      </c>
      <c r="I4">
        <v>5.7344827651977504</v>
      </c>
      <c r="J4">
        <v>-1.8758796453475901</v>
      </c>
      <c r="K4">
        <v>-2.8166036605834899</v>
      </c>
      <c r="L4">
        <v>-4.25654792785644</v>
      </c>
      <c r="M4">
        <v>1.9175487756729099</v>
      </c>
      <c r="N4">
        <v>-1.5458126068115201</v>
      </c>
      <c r="O4">
        <v>0.138477101922035</v>
      </c>
      <c r="P4">
        <v>-2.6990938186645499</v>
      </c>
      <c r="Q4">
        <v>0.587394118309021</v>
      </c>
      <c r="R4">
        <v>0.63927179574966397</v>
      </c>
      <c r="S4">
        <v>-8.9054562151431996E-2</v>
      </c>
      <c r="T4">
        <v>-0.13030920922756101</v>
      </c>
      <c r="U4">
        <v>-0.23893760144710499</v>
      </c>
      <c r="V4">
        <v>2.3933868855237898E-2</v>
      </c>
      <c r="W4" s="5">
        <f t="shared" si="0"/>
        <v>-784.97197077369765</v>
      </c>
      <c r="Y4" s="20"/>
      <c r="Z4" s="21"/>
      <c r="AA4" s="20"/>
      <c r="AB4" s="20"/>
    </row>
    <row r="5" spans="1:28" x14ac:dyDescent="0.35">
      <c r="A5" t="s">
        <v>90</v>
      </c>
      <c r="B5" s="1">
        <v>0.54686999320983798</v>
      </c>
      <c r="C5" s="3">
        <v>-2.0180630683898899</v>
      </c>
      <c r="D5" s="3">
        <v>1</v>
      </c>
      <c r="E5" s="3">
        <v>1.4278324842453001</v>
      </c>
      <c r="F5" s="3">
        <v>0.56795799732208196</v>
      </c>
      <c r="G5">
        <v>-5.7707309722900302</v>
      </c>
      <c r="H5">
        <v>1.58191525936126</v>
      </c>
      <c r="I5">
        <v>5.7404556274414</v>
      </c>
      <c r="J5">
        <v>-3.4509289264678902</v>
      </c>
      <c r="K5">
        <v>-4.3223938941955504</v>
      </c>
      <c r="L5">
        <v>-5.8019118309020996</v>
      </c>
      <c r="M5">
        <v>1.2392498254776001</v>
      </c>
      <c r="N5">
        <v>-2.25359654426574</v>
      </c>
      <c r="O5">
        <v>-0.56245684623718195</v>
      </c>
      <c r="P5">
        <v>-3.1900086402893</v>
      </c>
      <c r="Q5">
        <v>0.109091095626354</v>
      </c>
      <c r="R5">
        <v>0.159784495830535</v>
      </c>
      <c r="S5">
        <v>-1.7305775880813501</v>
      </c>
      <c r="T5">
        <v>-1.77395319938659</v>
      </c>
      <c r="U5">
        <v>-1.87386918067932</v>
      </c>
      <c r="V5">
        <v>-1.6063864231109599</v>
      </c>
      <c r="W5" s="5">
        <f t="shared" si="0"/>
        <v>-785.21448860645444</v>
      </c>
      <c r="Y5" s="20"/>
      <c r="Z5" s="21"/>
      <c r="AA5" s="20"/>
      <c r="AB5" s="20"/>
    </row>
    <row r="6" spans="1:28" x14ac:dyDescent="0.35">
      <c r="A6" t="s">
        <v>91</v>
      </c>
      <c r="B6" s="1">
        <v>0.54671162366866999</v>
      </c>
      <c r="C6" s="3">
        <v>-3.02249884605407</v>
      </c>
      <c r="D6" s="3">
        <v>1</v>
      </c>
      <c r="E6" s="3">
        <v>1.4217671155929501</v>
      </c>
      <c r="F6" s="3">
        <v>0.55600506067276001</v>
      </c>
      <c r="G6">
        <v>-6.2978920936584402</v>
      </c>
      <c r="H6">
        <v>1.0470401048660201</v>
      </c>
      <c r="I6">
        <v>5.2739911079406703</v>
      </c>
      <c r="J6">
        <v>-5.0631341934204102</v>
      </c>
      <c r="K6">
        <v>-6.0080990791320801</v>
      </c>
      <c r="L6">
        <v>-7.4446897506713796</v>
      </c>
      <c r="M6">
        <v>1.4709038734436</v>
      </c>
      <c r="N6">
        <v>-2.06363654136657</v>
      </c>
      <c r="O6">
        <v>-0.35888200998306202</v>
      </c>
      <c r="P6">
        <v>-1.78863441944122</v>
      </c>
      <c r="Q6">
        <v>1.4519854784011801</v>
      </c>
      <c r="R6">
        <v>1.5624358654022199</v>
      </c>
      <c r="S6">
        <v>-3.8309875875711399E-2</v>
      </c>
      <c r="T6">
        <v>-8.0997109413146903E-2</v>
      </c>
      <c r="U6">
        <v>-0.19638465344905801</v>
      </c>
      <c r="V6">
        <v>6.3288370147347398E-3</v>
      </c>
      <c r="W6" s="5">
        <f t="shared" si="0"/>
        <v>-785.48892211651912</v>
      </c>
      <c r="Y6" s="20"/>
      <c r="Z6" s="21"/>
      <c r="AA6" s="20"/>
      <c r="AB6" s="20"/>
    </row>
    <row r="7" spans="1:28" x14ac:dyDescent="0.35">
      <c r="A7" t="s">
        <v>92</v>
      </c>
      <c r="B7" s="1">
        <v>0.54669964313507002</v>
      </c>
      <c r="C7" s="3">
        <v>-4.4068894386291504</v>
      </c>
      <c r="D7" s="3">
        <v>1</v>
      </c>
      <c r="E7" s="3">
        <v>1.41894555091857</v>
      </c>
      <c r="F7" s="3">
        <v>0.60854458808898904</v>
      </c>
      <c r="G7">
        <v>-5.71787357330322</v>
      </c>
      <c r="H7">
        <v>1.64394223690032</v>
      </c>
      <c r="I7">
        <v>5.7781887054443297</v>
      </c>
      <c r="J7">
        <v>-0.45815098285674999</v>
      </c>
      <c r="K7">
        <v>-1.4649521112442001</v>
      </c>
      <c r="L7">
        <v>-2.8750479221343901</v>
      </c>
      <c r="M7">
        <v>-0.41034945845603898</v>
      </c>
      <c r="N7">
        <v>-3.9954962730407702</v>
      </c>
      <c r="O7">
        <v>-2.32567286491394</v>
      </c>
      <c r="P7">
        <v>-1.6372762918472199</v>
      </c>
      <c r="Q7">
        <v>1.81368219852447</v>
      </c>
      <c r="R7">
        <v>1.5550243854522701</v>
      </c>
      <c r="S7">
        <v>-2.0367634296417201</v>
      </c>
      <c r="T7">
        <v>-2.1055440902709899</v>
      </c>
      <c r="U7">
        <v>-2.1512579917907702</v>
      </c>
      <c r="V7">
        <v>-1.91878902912139</v>
      </c>
      <c r="W7" s="5">
        <f t="shared" si="0"/>
        <v>-785.50968279981748</v>
      </c>
      <c r="Y7" s="20"/>
      <c r="Z7" s="21"/>
      <c r="AA7" s="20"/>
      <c r="AB7" s="20"/>
    </row>
    <row r="8" spans="1:28" x14ac:dyDescent="0.35">
      <c r="A8" t="s">
        <v>93</v>
      </c>
      <c r="B8" s="1">
        <v>0.54666608572006203</v>
      </c>
      <c r="C8" s="3">
        <v>-2.0269689559936501</v>
      </c>
      <c r="D8" s="3">
        <v>1</v>
      </c>
      <c r="E8" s="3">
        <v>1.42751276493072</v>
      </c>
      <c r="F8" s="3">
        <v>0.63010179996490401</v>
      </c>
      <c r="G8">
        <v>-5.7229256629943803</v>
      </c>
      <c r="H8">
        <v>1.5888196229934599</v>
      </c>
      <c r="I8">
        <v>5.7204108238220197</v>
      </c>
      <c r="J8">
        <v>-4.8715882301330504</v>
      </c>
      <c r="K8">
        <v>-5.81774806976318</v>
      </c>
      <c r="L8">
        <v>-7.2687931060790998</v>
      </c>
      <c r="M8">
        <v>0.68554037809371904</v>
      </c>
      <c r="N8">
        <v>-2.82963919639587</v>
      </c>
      <c r="O8">
        <v>-1.1440963745117101</v>
      </c>
      <c r="P8">
        <v>-1.5207811594009399</v>
      </c>
      <c r="Q8">
        <v>1.6990392208099301</v>
      </c>
      <c r="R8">
        <v>1.78316986560821</v>
      </c>
      <c r="S8">
        <v>-1.3693884611129701</v>
      </c>
      <c r="T8">
        <v>-1.4045481681823699</v>
      </c>
      <c r="U8">
        <v>-1.51818859577178</v>
      </c>
      <c r="V8">
        <v>-1.2388293743133501</v>
      </c>
      <c r="W8" s="5">
        <f t="shared" si="0"/>
        <v>-785.56783337044749</v>
      </c>
      <c r="Y8" s="20"/>
      <c r="Z8" s="21"/>
      <c r="AA8" s="20"/>
      <c r="AB8" s="20"/>
    </row>
    <row r="9" spans="1:28" x14ac:dyDescent="0.35">
      <c r="A9" t="s">
        <v>94</v>
      </c>
      <c r="B9" s="1">
        <v>0.54667866230010898</v>
      </c>
      <c r="C9" s="3">
        <v>-4.7360606193542401</v>
      </c>
      <c r="D9" s="3">
        <v>1</v>
      </c>
      <c r="E9" s="3">
        <v>1.4224509000778101</v>
      </c>
      <c r="F9" s="3">
        <v>0.61341321468353205</v>
      </c>
      <c r="G9">
        <v>-5.9630007743835396</v>
      </c>
      <c r="H9">
        <v>1.3185517787933301</v>
      </c>
      <c r="I9">
        <v>5.4938755035400302</v>
      </c>
      <c r="J9">
        <v>-0.21476109325885701</v>
      </c>
      <c r="K9">
        <v>-1.1932952404022199</v>
      </c>
      <c r="L9">
        <v>-2.62442827224731</v>
      </c>
      <c r="M9">
        <v>1.74942743778228</v>
      </c>
      <c r="N9">
        <v>-1.72060811519622</v>
      </c>
      <c r="O9">
        <v>-3.7185136228799799E-2</v>
      </c>
      <c r="P9">
        <v>-5.8337321281433097</v>
      </c>
      <c r="Q9">
        <v>-2.51946926116943</v>
      </c>
      <c r="R9">
        <v>-2.46587061882019</v>
      </c>
      <c r="S9">
        <v>0.16082447767257599</v>
      </c>
      <c r="T9">
        <v>0.123704500496387</v>
      </c>
      <c r="U9">
        <v>1.39140235260128E-2</v>
      </c>
      <c r="V9">
        <v>0.28080829977989102</v>
      </c>
      <c r="W9" s="5">
        <f t="shared" si="0"/>
        <v>-785.54603981733476</v>
      </c>
      <c r="Y9" s="20"/>
      <c r="Z9" s="21"/>
      <c r="AA9" s="20"/>
      <c r="AB9" s="20"/>
    </row>
    <row r="10" spans="1:28" x14ac:dyDescent="0.35">
      <c r="A10" t="s">
        <v>95</v>
      </c>
      <c r="B10" s="1">
        <v>0.54698348045349099</v>
      </c>
      <c r="C10" s="3">
        <v>-2.5738992691039999</v>
      </c>
      <c r="D10" s="3">
        <v>1</v>
      </c>
      <c r="E10" s="3">
        <v>1.4026572704315099</v>
      </c>
      <c r="F10" s="3">
        <v>0.55843639373779297</v>
      </c>
      <c r="G10">
        <v>-5.9725852012634197</v>
      </c>
      <c r="H10">
        <v>1.3695266246795601</v>
      </c>
      <c r="I10">
        <v>5.5566987991332999</v>
      </c>
      <c r="J10">
        <v>-4.3136334419250399</v>
      </c>
      <c r="K10">
        <v>-5.2389593124389604</v>
      </c>
      <c r="L10">
        <v>-6.6182932853698704</v>
      </c>
      <c r="M10">
        <v>0.33978840708732599</v>
      </c>
      <c r="N10">
        <v>-3.1300957202911301</v>
      </c>
      <c r="O10">
        <v>-1.44103920459747</v>
      </c>
      <c r="P10">
        <v>-1.7337657213211</v>
      </c>
      <c r="Q10">
        <v>1.58316445350646</v>
      </c>
      <c r="R10">
        <v>1.55121898651123</v>
      </c>
      <c r="S10">
        <v>-0.39351189136505099</v>
      </c>
      <c r="T10">
        <v>-0.403219133615493</v>
      </c>
      <c r="U10">
        <v>-0.45205506682395902</v>
      </c>
      <c r="V10">
        <v>-0.29764911532402</v>
      </c>
      <c r="W10" s="5">
        <f t="shared" si="0"/>
        <v>-785.0178301935199</v>
      </c>
      <c r="Y10" s="20"/>
      <c r="Z10" s="21"/>
      <c r="AA10" s="20"/>
      <c r="AB10" s="20"/>
    </row>
    <row r="11" spans="1:28" x14ac:dyDescent="0.35">
      <c r="A11" t="s">
        <v>96</v>
      </c>
      <c r="B11" s="1">
        <v>0.54677772521972601</v>
      </c>
      <c r="C11" s="3">
        <v>-4.5861253738403303</v>
      </c>
      <c r="D11" s="3">
        <v>1</v>
      </c>
      <c r="E11" s="3">
        <v>1.4308495521545399</v>
      </c>
      <c r="F11" s="3">
        <v>0.55040293931961004</v>
      </c>
      <c r="G11">
        <v>-5.7908935546875</v>
      </c>
      <c r="H11">
        <v>1.62933409214019</v>
      </c>
      <c r="I11">
        <v>5.78920555114746</v>
      </c>
      <c r="J11">
        <v>-0.94343852996826105</v>
      </c>
      <c r="K11">
        <v>-1.9404929876327499</v>
      </c>
      <c r="L11">
        <v>-3.3625605106353702</v>
      </c>
      <c r="M11">
        <v>-2.75166286155581E-3</v>
      </c>
      <c r="N11">
        <v>-3.5181534290313698</v>
      </c>
      <c r="O11">
        <v>-1.8350476026535001</v>
      </c>
      <c r="P11">
        <v>-2.19554138183593</v>
      </c>
      <c r="Q11">
        <v>1.0765699148178101</v>
      </c>
      <c r="R11">
        <v>1.1450657844543399</v>
      </c>
      <c r="S11">
        <v>-1.33597159385681</v>
      </c>
      <c r="T11">
        <v>-1.36618936061859</v>
      </c>
      <c r="U11">
        <v>-1.4881647825241</v>
      </c>
      <c r="V11">
        <v>-1.19705617427825</v>
      </c>
      <c r="W11" s="5">
        <f t="shared" si="0"/>
        <v>-785.37437685394377</v>
      </c>
      <c r="Y11" s="20"/>
      <c r="Z11" s="21"/>
      <c r="AA11" s="20"/>
      <c r="AB11" s="20"/>
    </row>
    <row r="12" spans="1:28" x14ac:dyDescent="0.35">
      <c r="A12" t="s">
        <v>97</v>
      </c>
      <c r="B12" s="1">
        <v>0.54691863059997503</v>
      </c>
      <c r="C12" s="3">
        <v>-1.35184562206268</v>
      </c>
      <c r="D12" s="3">
        <v>1</v>
      </c>
      <c r="E12" s="3">
        <v>1.41855263710021</v>
      </c>
      <c r="F12" s="3">
        <v>0.64046353101730302</v>
      </c>
      <c r="G12">
        <v>-7.1408562660217196</v>
      </c>
      <c r="H12">
        <v>0.101321816444396</v>
      </c>
      <c r="I12">
        <v>4.3557615280151296</v>
      </c>
      <c r="J12">
        <v>-1.5456503629684399</v>
      </c>
      <c r="K12">
        <v>-2.5291466712951598</v>
      </c>
      <c r="L12">
        <v>-3.9610326290130602</v>
      </c>
      <c r="M12">
        <v>0.76108598709106401</v>
      </c>
      <c r="N12">
        <v>-2.7716319561004599</v>
      </c>
      <c r="O12">
        <v>-1.0801811218261701</v>
      </c>
      <c r="P12">
        <v>-5.5441641807556099</v>
      </c>
      <c r="Q12">
        <v>-2.2442529201507502</v>
      </c>
      <c r="R12">
        <v>-2.1685163974761901</v>
      </c>
      <c r="S12">
        <v>9.7034342586994102E-2</v>
      </c>
      <c r="T12">
        <v>0.122112601995468</v>
      </c>
      <c r="U12">
        <v>-4.4589448720216703E-2</v>
      </c>
      <c r="V12">
        <v>8.7224468588828999E-2</v>
      </c>
      <c r="W12" s="5">
        <f t="shared" si="0"/>
        <v>-785.13020642948243</v>
      </c>
      <c r="Y12" s="20"/>
      <c r="Z12" s="21"/>
      <c r="AA12" s="20"/>
      <c r="AB12" s="20"/>
    </row>
    <row r="13" spans="1:28" x14ac:dyDescent="0.35">
      <c r="A13" t="s">
        <v>98</v>
      </c>
      <c r="B13" s="1">
        <v>0.54698026180267301</v>
      </c>
      <c r="C13" s="3">
        <v>-5.08209180831909</v>
      </c>
      <c r="D13" s="3">
        <v>1</v>
      </c>
      <c r="E13" s="3">
        <v>1.42000031471252</v>
      </c>
      <c r="F13" s="3">
        <v>0.61615175008773804</v>
      </c>
      <c r="G13">
        <v>-6.0386433601379297</v>
      </c>
      <c r="H13">
        <v>1.3573929071426301</v>
      </c>
      <c r="I13">
        <v>5.4519882202148402</v>
      </c>
      <c r="J13">
        <v>-0.708468258380889</v>
      </c>
      <c r="K13">
        <v>-1.6873204708099301</v>
      </c>
      <c r="L13">
        <v>-3.1112756729125901</v>
      </c>
      <c r="M13">
        <v>1.0986921787261901</v>
      </c>
      <c r="N13">
        <v>-2.43131232261657</v>
      </c>
      <c r="O13">
        <v>-0.74541211128234797</v>
      </c>
      <c r="P13">
        <v>-4.0592336654662997</v>
      </c>
      <c r="Q13">
        <v>-0.80552023649215698</v>
      </c>
      <c r="R13">
        <v>-0.715082466602325</v>
      </c>
      <c r="S13">
        <v>4.6721439808607101E-2</v>
      </c>
      <c r="T13">
        <v>1.4552108477801E-3</v>
      </c>
      <c r="U13">
        <v>-0.11521963775157899</v>
      </c>
      <c r="V13">
        <v>0.15677256882190699</v>
      </c>
      <c r="W13" s="5">
        <f t="shared" si="0"/>
        <v>-785.02340769052557</v>
      </c>
      <c r="Y13" s="20"/>
      <c r="Z13" s="21"/>
      <c r="AA13" s="20"/>
      <c r="AB13" s="20"/>
    </row>
    <row r="14" spans="1:28" x14ac:dyDescent="0.35">
      <c r="A14" t="s">
        <v>78</v>
      </c>
      <c r="B14" s="1">
        <v>0.54675221443176203</v>
      </c>
      <c r="C14" s="3">
        <v>-2.4749848842620801</v>
      </c>
      <c r="D14" s="3">
        <v>1</v>
      </c>
      <c r="E14" s="3">
        <v>1.41521060466766</v>
      </c>
      <c r="F14" s="3">
        <v>0.62861704826354903</v>
      </c>
      <c r="G14">
        <v>-5.7093615531921298</v>
      </c>
      <c r="H14">
        <v>1.5635232925414999</v>
      </c>
      <c r="I14">
        <v>5.7076420783996502</v>
      </c>
      <c r="J14">
        <v>-1.0582736730575499</v>
      </c>
      <c r="K14">
        <v>-1.9993990659713701</v>
      </c>
      <c r="L14">
        <v>-3.4307477474212602</v>
      </c>
      <c r="M14">
        <v>1.7368980646133401</v>
      </c>
      <c r="N14">
        <v>-1.72291707992553</v>
      </c>
      <c r="O14">
        <v>-4.7437824308872202E-2</v>
      </c>
      <c r="P14">
        <v>-7.2610578536987296</v>
      </c>
      <c r="Q14">
        <v>-3.9559962749481201</v>
      </c>
      <c r="R14">
        <v>-3.9077355861663801</v>
      </c>
      <c r="S14">
        <v>-5.3949985653162003E-2</v>
      </c>
      <c r="T14">
        <v>-0.10151340812444599</v>
      </c>
      <c r="U14">
        <v>-0.20667244493961301</v>
      </c>
      <c r="V14">
        <v>5.1826402544975197E-2</v>
      </c>
      <c r="W14" s="5">
        <f t="shared" si="0"/>
        <v>-785.41858368206135</v>
      </c>
      <c r="Y14" s="20"/>
      <c r="Z14" s="21"/>
      <c r="AA14" s="20"/>
      <c r="AB14" s="20"/>
    </row>
    <row r="15" spans="1:28" x14ac:dyDescent="0.35">
      <c r="A15" t="s">
        <v>99</v>
      </c>
      <c r="B15" s="1">
        <v>0.54677343368530196</v>
      </c>
      <c r="C15" s="3">
        <v>-2.99588847160339</v>
      </c>
      <c r="D15" s="3">
        <v>1</v>
      </c>
      <c r="E15" s="3">
        <v>1.4181455373764</v>
      </c>
      <c r="F15" s="3">
        <v>0.61343115568161</v>
      </c>
      <c r="G15">
        <v>-7.5787200927734304</v>
      </c>
      <c r="H15">
        <v>-0.32205012440681402</v>
      </c>
      <c r="I15">
        <v>3.97077083587646</v>
      </c>
      <c r="J15">
        <v>-2.5226686000823899</v>
      </c>
      <c r="K15">
        <v>-3.3845920562744101</v>
      </c>
      <c r="L15">
        <v>-4.8527379035949698</v>
      </c>
      <c r="M15">
        <v>1.23087310791015</v>
      </c>
      <c r="N15">
        <v>-2.2481117248535099</v>
      </c>
      <c r="O15">
        <v>-0.56626224517822199</v>
      </c>
      <c r="P15">
        <v>-2.7967529296875</v>
      </c>
      <c r="Q15">
        <v>0.47714030742645203</v>
      </c>
      <c r="R15">
        <v>0.52364253997802701</v>
      </c>
      <c r="S15">
        <v>-0.17473548650741499</v>
      </c>
      <c r="T15">
        <v>-0.18837821483611999</v>
      </c>
      <c r="U15">
        <v>-0.34496143460273698</v>
      </c>
      <c r="V15">
        <v>-7.2509236633777605E-2</v>
      </c>
      <c r="W15" s="5">
        <f t="shared" si="0"/>
        <v>-785.38181351661819</v>
      </c>
      <c r="Y15" s="20"/>
      <c r="Z15" s="21"/>
      <c r="AA15" s="20"/>
      <c r="AB15" s="20"/>
    </row>
    <row r="16" spans="1:28" x14ac:dyDescent="0.35">
      <c r="A16" t="s">
        <v>100</v>
      </c>
      <c r="B16" s="1">
        <v>0.54668492078781095</v>
      </c>
      <c r="C16" s="3">
        <v>-4.4158148765563903</v>
      </c>
      <c r="D16" s="3">
        <v>1</v>
      </c>
      <c r="E16" s="3">
        <v>1.4242790937423699</v>
      </c>
      <c r="F16" s="3">
        <v>0.59774279594421298</v>
      </c>
      <c r="G16">
        <v>-6.37896680831909</v>
      </c>
      <c r="H16">
        <v>0.91245859861373901</v>
      </c>
      <c r="I16">
        <v>5.1280398368835396</v>
      </c>
      <c r="J16">
        <v>-1.6108380556106501</v>
      </c>
      <c r="K16">
        <v>-2.62683081626892</v>
      </c>
      <c r="L16">
        <v>-4.0598788261413503</v>
      </c>
      <c r="M16">
        <v>1.8402913808822601</v>
      </c>
      <c r="N16">
        <v>-1.6426850557327199</v>
      </c>
      <c r="O16">
        <v>5.2561990916728897E-2</v>
      </c>
      <c r="P16">
        <v>-3.0768876075744598</v>
      </c>
      <c r="Q16">
        <v>0.23255544900894101</v>
      </c>
      <c r="R16">
        <v>0.29008603096008301</v>
      </c>
      <c r="S16">
        <v>-1.09092617034912</v>
      </c>
      <c r="T16">
        <v>-1.13159239292144</v>
      </c>
      <c r="U16">
        <v>-1.2427632808685301</v>
      </c>
      <c r="V16">
        <v>-0.97100144624710005</v>
      </c>
      <c r="W16" s="5">
        <f t="shared" si="0"/>
        <v>-785.53519468426759</v>
      </c>
      <c r="Y16" s="20"/>
      <c r="Z16" s="21"/>
      <c r="AA16" s="20"/>
      <c r="AB16" s="20"/>
    </row>
    <row r="17" spans="1:28" x14ac:dyDescent="0.35">
      <c r="A17" t="s">
        <v>101</v>
      </c>
      <c r="B17" s="1">
        <v>0.54678165912628096</v>
      </c>
      <c r="C17" s="3">
        <v>-2.6361722946166899</v>
      </c>
      <c r="D17" s="3">
        <v>1</v>
      </c>
      <c r="E17" s="3">
        <v>1.3986797332763601</v>
      </c>
      <c r="F17" s="3">
        <v>0.58145433664321899</v>
      </c>
      <c r="G17">
        <v>-7.6928691864013601</v>
      </c>
      <c r="H17">
        <v>-0.38587865233421298</v>
      </c>
      <c r="I17">
        <v>3.9282035827636701</v>
      </c>
      <c r="J17">
        <v>-4.4149074554443297</v>
      </c>
      <c r="K17">
        <v>-5.3461055755615199</v>
      </c>
      <c r="L17">
        <v>-6.7436170578002903</v>
      </c>
      <c r="M17">
        <v>1.7246459722518901</v>
      </c>
      <c r="N17">
        <v>-1.7394486665725699</v>
      </c>
      <c r="O17">
        <v>-7.0714257657527896E-2</v>
      </c>
      <c r="P17">
        <v>-1.6470977067947301</v>
      </c>
      <c r="Q17">
        <v>1.651988863945</v>
      </c>
      <c r="R17">
        <v>1.6520191431045499</v>
      </c>
      <c r="S17">
        <v>-2.45414674282073E-2</v>
      </c>
      <c r="T17">
        <v>-1.6185412183403899E-2</v>
      </c>
      <c r="U17">
        <v>-0.15701071918010701</v>
      </c>
      <c r="V17">
        <v>1.38254342600703E-2</v>
      </c>
      <c r="W17" s="5">
        <f t="shared" si="0"/>
        <v>-785.36755991315977</v>
      </c>
      <c r="Y17" s="20"/>
      <c r="Z17" s="21"/>
      <c r="AA17" s="20"/>
      <c r="AB17" s="20"/>
    </row>
    <row r="18" spans="1:28" x14ac:dyDescent="0.35">
      <c r="A18" t="s">
        <v>102</v>
      </c>
      <c r="B18" s="1">
        <v>0.54796200990676802</v>
      </c>
      <c r="C18" s="3">
        <v>-0.85334396362304599</v>
      </c>
      <c r="D18" s="3">
        <v>1</v>
      </c>
      <c r="E18" s="3">
        <v>1.4410586357116699</v>
      </c>
      <c r="F18" s="3">
        <v>0.75040835142135598</v>
      </c>
      <c r="G18">
        <v>-5.6936292648315403</v>
      </c>
      <c r="H18">
        <v>1.8334209918975799</v>
      </c>
      <c r="I18">
        <v>5.8586387634277299</v>
      </c>
      <c r="J18">
        <v>-7.1651382446289</v>
      </c>
      <c r="K18">
        <v>-8.1246051788330007</v>
      </c>
      <c r="L18">
        <v>-9.6226291656494105</v>
      </c>
      <c r="M18">
        <v>1.1011165380477901</v>
      </c>
      <c r="N18">
        <v>-2.44384264945983</v>
      </c>
      <c r="O18">
        <v>-0.75041639804839999</v>
      </c>
      <c r="P18">
        <v>-2.53998351097106</v>
      </c>
      <c r="Q18">
        <v>0.77364695072173995</v>
      </c>
      <c r="R18">
        <v>0.81762677431106501</v>
      </c>
      <c r="S18">
        <v>6.7365244030952398E-2</v>
      </c>
      <c r="T18">
        <v>-0.121632561087608</v>
      </c>
      <c r="U18">
        <v>-0.17233783006667999</v>
      </c>
      <c r="V18">
        <v>-0.23886971175670599</v>
      </c>
      <c r="W18" s="5">
        <f t="shared" si="0"/>
        <v>-783.32216781687873</v>
      </c>
      <c r="Y18" s="20"/>
      <c r="Z18" s="21"/>
      <c r="AA18" s="20"/>
      <c r="AB18" s="20"/>
    </row>
    <row r="19" spans="1:28" x14ac:dyDescent="0.35">
      <c r="A19" t="s">
        <v>103</v>
      </c>
      <c r="B19" s="1">
        <v>0.54673326015472401</v>
      </c>
      <c r="C19" s="3">
        <v>-3.2633800506591699</v>
      </c>
      <c r="D19" s="3">
        <v>1</v>
      </c>
      <c r="E19" s="3">
        <v>1.3964254856109599</v>
      </c>
      <c r="F19" s="3">
        <v>0.66779834032058705</v>
      </c>
      <c r="G19">
        <v>-5.6865501403808496</v>
      </c>
      <c r="H19">
        <v>1.5546461343765201</v>
      </c>
      <c r="I19">
        <v>5.6677141189575098</v>
      </c>
      <c r="J19">
        <v>-1.5626922845840401</v>
      </c>
      <c r="K19">
        <v>-2.5336842536926198</v>
      </c>
      <c r="L19">
        <v>-3.9320428371429399</v>
      </c>
      <c r="M19">
        <v>1.713951587677</v>
      </c>
      <c r="N19">
        <v>-1.7275197505950901</v>
      </c>
      <c r="O19">
        <v>-6.21058344841003E-2</v>
      </c>
      <c r="P19">
        <v>-5.3143453598022399</v>
      </c>
      <c r="Q19">
        <v>-2.0293562412261901</v>
      </c>
      <c r="R19">
        <v>-2.0225338935852002</v>
      </c>
      <c r="S19">
        <v>-0.50067627429962103</v>
      </c>
      <c r="T19">
        <v>-0.52252948284149103</v>
      </c>
      <c r="U19">
        <v>-0.63759797811508101</v>
      </c>
      <c r="V19">
        <v>-0.36043089628219599</v>
      </c>
      <c r="W19" s="5">
        <f t="shared" si="0"/>
        <v>-785.45142894220373</v>
      </c>
      <c r="Y19" s="20"/>
      <c r="Z19" s="21"/>
      <c r="AA19" s="20"/>
      <c r="AB19" s="20"/>
    </row>
    <row r="20" spans="1:28" x14ac:dyDescent="0.35">
      <c r="A20" t="s">
        <v>104</v>
      </c>
      <c r="B20" s="1">
        <v>0.54688560962677002</v>
      </c>
      <c r="C20" s="3">
        <v>-3.88787341117858</v>
      </c>
      <c r="D20" s="3">
        <v>1</v>
      </c>
      <c r="E20" s="3">
        <v>1.4256520271301201</v>
      </c>
      <c r="F20" s="3">
        <v>0.59129941463470403</v>
      </c>
      <c r="G20">
        <v>-5.7467341423034597</v>
      </c>
      <c r="H20">
        <v>1.59725224971771</v>
      </c>
      <c r="I20">
        <v>5.7459082603454501</v>
      </c>
      <c r="J20">
        <v>-3.1704061031341499</v>
      </c>
      <c r="K20">
        <v>-4.1175212860107404</v>
      </c>
      <c r="L20">
        <v>-5.5694384574890101</v>
      </c>
      <c r="M20">
        <v>0.72972375154495195</v>
      </c>
      <c r="N20">
        <v>-2.7915441989898602</v>
      </c>
      <c r="O20">
        <v>-1.1002115011215201</v>
      </c>
      <c r="P20">
        <v>-3.4884934425353999</v>
      </c>
      <c r="Q20">
        <v>-0.18563866615295399</v>
      </c>
      <c r="R20">
        <v>-0.124909967184066</v>
      </c>
      <c r="S20">
        <v>0.76814317703247004</v>
      </c>
      <c r="T20">
        <v>0.75502568483352595</v>
      </c>
      <c r="U20">
        <v>0.62920486927032404</v>
      </c>
      <c r="V20">
        <v>0.91050070524215698</v>
      </c>
      <c r="W20" s="5">
        <f t="shared" si="0"/>
        <v>-785.18742741727829</v>
      </c>
      <c r="Y20" s="20"/>
      <c r="Z20" s="21"/>
      <c r="AA20" s="20"/>
      <c r="AB20" s="20"/>
    </row>
    <row r="21" spans="1:28" x14ac:dyDescent="0.35">
      <c r="A21" t="s">
        <v>67</v>
      </c>
      <c r="B21" s="1">
        <v>0.54686832427978505</v>
      </c>
      <c r="C21" s="3">
        <v>-4.9480628967285103</v>
      </c>
      <c r="D21" s="3">
        <v>1</v>
      </c>
      <c r="E21" s="3">
        <v>1.4095209836959799</v>
      </c>
      <c r="F21" s="3">
        <v>0.67806589603423995</v>
      </c>
      <c r="G21">
        <v>-5.6833362579345703</v>
      </c>
      <c r="H21">
        <v>1.5691825151443399</v>
      </c>
      <c r="I21">
        <v>5.6833767890930096</v>
      </c>
      <c r="J21">
        <v>-2.1446032524108798</v>
      </c>
      <c r="K21">
        <v>-3.06998419761657</v>
      </c>
      <c r="L21">
        <v>-4.4973592758178702</v>
      </c>
      <c r="M21">
        <v>2.5553671643137901E-2</v>
      </c>
      <c r="N21">
        <v>-3.4417951107025102</v>
      </c>
      <c r="O21">
        <v>-1.76613020896911</v>
      </c>
      <c r="P21">
        <v>-1.5382946729660001</v>
      </c>
      <c r="Q21">
        <v>1.68869280815124</v>
      </c>
      <c r="R21">
        <v>1.72798788547515</v>
      </c>
      <c r="S21">
        <v>-0.40496164560317899</v>
      </c>
      <c r="T21">
        <v>-0.435523301362991</v>
      </c>
      <c r="U21">
        <v>-0.54865038394927901</v>
      </c>
      <c r="V21">
        <v>-0.281223595142364</v>
      </c>
      <c r="W21" s="5">
        <f t="shared" si="0"/>
        <v>-785.21738064193744</v>
      </c>
      <c r="Y21" s="20"/>
      <c r="Z21" s="21"/>
      <c r="AA21" s="20"/>
      <c r="AB21" s="20"/>
    </row>
    <row r="22" spans="1:28" x14ac:dyDescent="0.35">
      <c r="A22" t="s">
        <v>105</v>
      </c>
      <c r="B22" s="1">
        <v>0.54699766635894698</v>
      </c>
      <c r="C22" s="3">
        <v>-4.4757518768310502</v>
      </c>
      <c r="D22" s="3">
        <v>1</v>
      </c>
      <c r="E22" s="3">
        <v>1.4240041971206601</v>
      </c>
      <c r="F22" s="3">
        <v>0.60885530710220304</v>
      </c>
      <c r="G22">
        <v>-5.3997750282287598</v>
      </c>
      <c r="H22">
        <v>1.99503898620605</v>
      </c>
      <c r="I22">
        <v>6.0462722778320304</v>
      </c>
      <c r="J22">
        <v>-0.81206780672073298</v>
      </c>
      <c r="K22">
        <v>-1.8516361713409399</v>
      </c>
      <c r="L22">
        <v>-3.2713651657104399</v>
      </c>
      <c r="M22">
        <v>1.73631191253662</v>
      </c>
      <c r="N22">
        <v>-1.74294316768646</v>
      </c>
      <c r="O22">
        <v>-5.42112961411476E-2</v>
      </c>
      <c r="P22">
        <v>-2.6246554851531898</v>
      </c>
      <c r="Q22">
        <v>0.63648921251296997</v>
      </c>
      <c r="R22">
        <v>0.69764125347137396</v>
      </c>
      <c r="S22">
        <v>-3.2127223014831499</v>
      </c>
      <c r="T22">
        <v>-3.2545695304870601</v>
      </c>
      <c r="U22">
        <v>-3.3587374687194802</v>
      </c>
      <c r="V22">
        <v>-3.08613085746765</v>
      </c>
      <c r="W22" s="5">
        <f t="shared" si="0"/>
        <v>-784.99324789190428</v>
      </c>
      <c r="Y22" s="20"/>
      <c r="Z22" s="21"/>
      <c r="AA22" s="20"/>
      <c r="AB22" s="20"/>
    </row>
    <row r="23" spans="1:28" x14ac:dyDescent="0.35">
      <c r="A23" t="s">
        <v>85</v>
      </c>
      <c r="B23" s="1">
        <v>0.54726767539978005</v>
      </c>
      <c r="C23" s="3">
        <v>-4.8205366134643501</v>
      </c>
      <c r="D23" s="3">
        <v>1</v>
      </c>
      <c r="E23" s="3">
        <v>1.4227720499038601</v>
      </c>
      <c r="F23" s="3">
        <v>0.63098722696304299</v>
      </c>
      <c r="G23">
        <v>-5.7377066612243599</v>
      </c>
      <c r="H23">
        <v>1.64418160915374</v>
      </c>
      <c r="I23">
        <v>5.7451353073120099</v>
      </c>
      <c r="J23">
        <v>-2.6760568618774401</v>
      </c>
      <c r="K23">
        <v>-3.6116361618041899</v>
      </c>
      <c r="L23">
        <v>-5.0618634223937899</v>
      </c>
      <c r="M23">
        <v>1.75736403465271</v>
      </c>
      <c r="N23">
        <v>-1.7254568338394101</v>
      </c>
      <c r="O23">
        <v>-3.0206453055143301E-2</v>
      </c>
      <c r="P23">
        <v>-2.9167578220367401</v>
      </c>
      <c r="Q23">
        <v>0.35514348745346003</v>
      </c>
      <c r="R23">
        <v>0.41732174158096302</v>
      </c>
      <c r="S23">
        <v>-0.462563335895538</v>
      </c>
      <c r="T23">
        <v>-0.50647991895675604</v>
      </c>
      <c r="U23">
        <v>-0.60690671205520597</v>
      </c>
      <c r="V23">
        <v>-0.34465077519416798</v>
      </c>
      <c r="W23" s="5">
        <f t="shared" si="0"/>
        <v>-784.52535786533394</v>
      </c>
      <c r="Y23" s="20"/>
      <c r="Z23" s="21"/>
      <c r="AA23" s="20"/>
      <c r="AB23" s="20"/>
    </row>
    <row r="24" spans="1:28" x14ac:dyDescent="0.35">
      <c r="A24" t="s">
        <v>106</v>
      </c>
      <c r="B24" s="1">
        <v>0.546786189079284</v>
      </c>
      <c r="C24" s="3">
        <v>-3.94122242927551</v>
      </c>
      <c r="D24" s="3">
        <v>1</v>
      </c>
      <c r="E24" s="3">
        <v>1.42836654186248</v>
      </c>
      <c r="F24" s="3">
        <v>0.56454700231552102</v>
      </c>
      <c r="G24">
        <v>-5.7551412582397399</v>
      </c>
      <c r="H24">
        <v>1.6337819099426201</v>
      </c>
      <c r="I24">
        <v>5.7612948417663503</v>
      </c>
      <c r="J24">
        <v>-2.2870671749114901</v>
      </c>
      <c r="K24">
        <v>-3.2276451587677002</v>
      </c>
      <c r="L24">
        <v>-4.6767387390136701</v>
      </c>
      <c r="M24">
        <v>0.80663758516311601</v>
      </c>
      <c r="N24">
        <v>-2.7135937213897701</v>
      </c>
      <c r="O24">
        <v>-1.0195095539093</v>
      </c>
      <c r="P24">
        <v>-1.66243779659271</v>
      </c>
      <c r="Q24">
        <v>1.5874929428100499</v>
      </c>
      <c r="R24">
        <v>1.6564222574234</v>
      </c>
      <c r="S24">
        <v>-1.980562210083</v>
      </c>
      <c r="T24">
        <v>-2.0241343975067099</v>
      </c>
      <c r="U24">
        <v>-2.1262879371643</v>
      </c>
      <c r="V24">
        <v>-1.8576729297637899</v>
      </c>
      <c r="W24" s="5">
        <f t="shared" si="0"/>
        <v>-785.35971010255923</v>
      </c>
      <c r="Y24" s="20"/>
      <c r="Z24" s="21"/>
      <c r="AA24" s="20"/>
      <c r="AB24" s="20"/>
    </row>
    <row r="25" spans="1:28" x14ac:dyDescent="0.35">
      <c r="A25" t="s">
        <v>107</v>
      </c>
      <c r="B25" s="1">
        <v>0.546858310699462</v>
      </c>
      <c r="C25" s="3">
        <v>-4.4571166038513104</v>
      </c>
      <c r="D25" s="3">
        <v>1</v>
      </c>
      <c r="E25" s="3">
        <v>1.42925477027893</v>
      </c>
      <c r="F25" s="3">
        <v>0.56420445442199696</v>
      </c>
      <c r="G25">
        <v>-5.74918460845947</v>
      </c>
      <c r="H25">
        <v>1.5922446250915501</v>
      </c>
      <c r="I25">
        <v>5.7495145797729403</v>
      </c>
      <c r="J25">
        <v>-1.5006012916564899</v>
      </c>
      <c r="K25">
        <v>-2.4482796192169101</v>
      </c>
      <c r="L25">
        <v>-3.90321516990661</v>
      </c>
      <c r="M25">
        <v>1.7369748353958101</v>
      </c>
      <c r="N25">
        <v>-1.7513233423232999</v>
      </c>
      <c r="O25">
        <v>-5.3390774875879198E-2</v>
      </c>
      <c r="P25">
        <v>-4.6073517799377397</v>
      </c>
      <c r="Q25">
        <v>-1.28846907615661</v>
      </c>
      <c r="R25">
        <v>-1.2283974885940501</v>
      </c>
      <c r="S25">
        <v>-0.26096528768539401</v>
      </c>
      <c r="T25">
        <v>-0.29379230737686102</v>
      </c>
      <c r="U25">
        <v>-0.41244032979011502</v>
      </c>
      <c r="V25">
        <v>-0.12935587763786299</v>
      </c>
      <c r="W25" s="5">
        <f t="shared" si="0"/>
        <v>-785.23473285484465</v>
      </c>
      <c r="Y25" s="20"/>
      <c r="Z25" s="21"/>
      <c r="AA25" s="20"/>
      <c r="AB25" s="20"/>
    </row>
    <row r="26" spans="1:28" x14ac:dyDescent="0.35">
      <c r="A26" t="s">
        <v>108</v>
      </c>
      <c r="B26" s="1">
        <v>0.54667437076568604</v>
      </c>
      <c r="C26" s="3">
        <v>-4.2271018028259197</v>
      </c>
      <c r="D26" s="3">
        <v>1</v>
      </c>
      <c r="E26" s="3">
        <v>1.42563211917877</v>
      </c>
      <c r="F26" s="3">
        <v>0.51868724822998002</v>
      </c>
      <c r="G26">
        <v>-7.4715003967285103</v>
      </c>
      <c r="H26">
        <v>-0.107924789190292</v>
      </c>
      <c r="I26">
        <v>4.2775735855102504</v>
      </c>
      <c r="J26">
        <v>-1.1500382423400799</v>
      </c>
      <c r="K26">
        <v>-2.08709716796875</v>
      </c>
      <c r="L26">
        <v>-3.53439021110534</v>
      </c>
      <c r="M26">
        <v>1.53462958335876</v>
      </c>
      <c r="N26">
        <v>-1.9783287048339799</v>
      </c>
      <c r="O26">
        <v>-0.27802741527557301</v>
      </c>
      <c r="P26">
        <v>-3.32257032394409</v>
      </c>
      <c r="Q26">
        <v>-2.2464992478489799E-2</v>
      </c>
      <c r="R26">
        <v>3.3767912536859498E-2</v>
      </c>
      <c r="S26">
        <v>-0.12710762023925701</v>
      </c>
      <c r="T26">
        <v>-0.183278188109397</v>
      </c>
      <c r="U26">
        <v>-0.30058786273002602</v>
      </c>
      <c r="V26">
        <v>-3.34147103130817E-2</v>
      </c>
      <c r="W26" s="5">
        <f t="shared" si="0"/>
        <v>-785.55347648000713</v>
      </c>
      <c r="Y26" s="20"/>
      <c r="Z26" s="20"/>
      <c r="AA26" s="20"/>
      <c r="AB26" s="20"/>
    </row>
    <row r="27" spans="1:28" x14ac:dyDescent="0.35">
      <c r="A27" t="s">
        <v>109</v>
      </c>
      <c r="B27" s="1">
        <v>0.54663515090942305</v>
      </c>
      <c r="C27" s="3">
        <v>-4.1781954765319798</v>
      </c>
      <c r="D27" s="3">
        <v>1</v>
      </c>
      <c r="E27" s="3">
        <v>1.37809169292449</v>
      </c>
      <c r="F27" s="3">
        <v>0.58406585454940796</v>
      </c>
      <c r="G27">
        <v>-5.7360711097717196</v>
      </c>
      <c r="H27">
        <v>1.5514850616455</v>
      </c>
      <c r="I27">
        <v>5.7346596717834402</v>
      </c>
      <c r="J27">
        <v>-2.1825418472289999</v>
      </c>
      <c r="K27">
        <v>-3.2084755897521902</v>
      </c>
      <c r="L27">
        <v>-4.5451512336730904</v>
      </c>
      <c r="M27">
        <v>-0.56508642435073797</v>
      </c>
      <c r="N27">
        <v>-4.0469264984130797</v>
      </c>
      <c r="O27">
        <v>-2.3967268466949401</v>
      </c>
      <c r="P27">
        <v>-1.6328870058059599</v>
      </c>
      <c r="Q27">
        <v>1.6658462285995399</v>
      </c>
      <c r="R27">
        <v>1.6673728227615301</v>
      </c>
      <c r="S27">
        <v>-8.5291951894760104E-2</v>
      </c>
      <c r="T27">
        <v>-0.104549132287502</v>
      </c>
      <c r="U27">
        <v>-0.20442149043083099</v>
      </c>
      <c r="V27">
        <v>-0.184344992041587</v>
      </c>
      <c r="W27" s="5">
        <f t="shared" si="0"/>
        <v>-785.62143931388982</v>
      </c>
      <c r="Y27" s="20"/>
      <c r="Z27" s="20"/>
      <c r="AA27" s="20"/>
      <c r="AB27" s="20"/>
    </row>
    <row r="28" spans="1:28" x14ac:dyDescent="0.35">
      <c r="A28" t="s">
        <v>110</v>
      </c>
      <c r="B28" s="1">
        <v>0.54670989513397195</v>
      </c>
      <c r="C28" s="3">
        <v>-1.4229140281677199</v>
      </c>
      <c r="D28" s="3">
        <v>1</v>
      </c>
      <c r="E28" s="3">
        <v>1.41742992401123</v>
      </c>
      <c r="F28" s="3">
        <v>0.60236579179763705</v>
      </c>
      <c r="G28">
        <v>-5.7286028861999503</v>
      </c>
      <c r="H28">
        <v>1.5574154853820801</v>
      </c>
      <c r="I28">
        <v>5.72865533828735</v>
      </c>
      <c r="J28">
        <v>-1.20940494537353</v>
      </c>
      <c r="K28">
        <v>-2.1300559043884202</v>
      </c>
      <c r="L28">
        <v>-3.57268095016479</v>
      </c>
      <c r="M28">
        <v>1.2195855379104601</v>
      </c>
      <c r="N28">
        <v>-2.26512575149536</v>
      </c>
      <c r="O28">
        <v>-0.58012747764587402</v>
      </c>
      <c r="P28">
        <v>-5.2996144294738698</v>
      </c>
      <c r="Q28">
        <v>-1.9887657165527299</v>
      </c>
      <c r="R28">
        <v>-1.95325708389282</v>
      </c>
      <c r="S28">
        <v>-2.3714141845703098</v>
      </c>
      <c r="T28">
        <v>-2.41945147514343</v>
      </c>
      <c r="U28">
        <v>-2.4935173988342201</v>
      </c>
      <c r="V28">
        <v>-2.2500531673431299</v>
      </c>
      <c r="W28" s="5">
        <f t="shared" si="0"/>
        <v>-785.49191743898427</v>
      </c>
      <c r="Y28" s="20"/>
      <c r="Z28" s="20"/>
      <c r="AA28" s="20"/>
      <c r="AB28" s="20"/>
    </row>
    <row r="29" spans="1:28" x14ac:dyDescent="0.35">
      <c r="A29" t="s">
        <v>111</v>
      </c>
      <c r="B29" s="1">
        <v>0.546650290489196</v>
      </c>
      <c r="C29" s="3">
        <v>-1.7446523904800399</v>
      </c>
      <c r="D29" s="3">
        <v>1</v>
      </c>
      <c r="E29" s="3">
        <v>1.4214496612548799</v>
      </c>
      <c r="F29" s="3">
        <v>0.55128866434097201</v>
      </c>
      <c r="G29">
        <v>-5.7543001174926696</v>
      </c>
      <c r="H29">
        <v>1.6214087009429901</v>
      </c>
      <c r="I29">
        <v>5.7623476982116699</v>
      </c>
      <c r="J29">
        <v>-5.6371946334838796</v>
      </c>
      <c r="K29">
        <v>-6.6156764030456499</v>
      </c>
      <c r="L29">
        <v>-8.0341005325317294</v>
      </c>
      <c r="M29">
        <v>1.74319279193878</v>
      </c>
      <c r="N29">
        <v>-1.74516236782073</v>
      </c>
      <c r="O29">
        <v>-5.38556240499019E-2</v>
      </c>
      <c r="P29">
        <v>-1.60617291927337</v>
      </c>
      <c r="Q29">
        <v>1.6937615871429399</v>
      </c>
      <c r="R29">
        <v>1.6937623023986801</v>
      </c>
      <c r="S29">
        <v>-1.8318442106246899</v>
      </c>
      <c r="T29">
        <v>-1.8701764345169001</v>
      </c>
      <c r="U29">
        <v>-1.97162508964538</v>
      </c>
      <c r="V29">
        <v>-1.6935784816741899</v>
      </c>
      <c r="W29" s="5">
        <f t="shared" si="0"/>
        <v>-785.59520442056782</v>
      </c>
      <c r="Y29" s="20"/>
      <c r="Z29" s="20"/>
      <c r="AA29" s="20"/>
      <c r="AB29" s="20"/>
    </row>
    <row r="30" spans="1:28" x14ac:dyDescent="0.35">
      <c r="A30" t="s">
        <v>112</v>
      </c>
      <c r="B30" s="1">
        <v>0.54664385318756104</v>
      </c>
      <c r="C30" s="3">
        <v>-4.6433949470520002</v>
      </c>
      <c r="D30" s="3">
        <v>1</v>
      </c>
      <c r="E30" s="3">
        <v>1.4279479980468699</v>
      </c>
      <c r="F30" s="3">
        <v>0.52204889059066695</v>
      </c>
      <c r="G30">
        <v>-7.1217837333679199</v>
      </c>
      <c r="H30">
        <v>0.27264037728309598</v>
      </c>
      <c r="I30">
        <v>4.5163693428039497</v>
      </c>
      <c r="J30">
        <v>1.80732822418212</v>
      </c>
      <c r="K30">
        <v>0.77763992547988803</v>
      </c>
      <c r="L30">
        <v>-0.64686471223831099</v>
      </c>
      <c r="M30">
        <v>1.0564535856246899</v>
      </c>
      <c r="N30">
        <v>-2.46815705299377</v>
      </c>
      <c r="O30">
        <v>-0.78353995084762496</v>
      </c>
      <c r="P30">
        <v>-3.9663195610046298</v>
      </c>
      <c r="Q30">
        <v>-0.59212237596511796</v>
      </c>
      <c r="R30">
        <v>-0.53968441486358598</v>
      </c>
      <c r="S30">
        <v>-1.8855012655258101</v>
      </c>
      <c r="T30">
        <v>-1.92747318744659</v>
      </c>
      <c r="U30">
        <v>-2.0502521991729701</v>
      </c>
      <c r="V30">
        <v>-1.7677317857742301</v>
      </c>
      <c r="W30" s="5">
        <f t="shared" si="0"/>
        <v>-785.60635941457747</v>
      </c>
      <c r="Y30" s="20"/>
      <c r="Z30" s="20"/>
      <c r="AA30" s="20"/>
      <c r="AB30" s="20"/>
    </row>
    <row r="31" spans="1:28" x14ac:dyDescent="0.35">
      <c r="A31" t="s">
        <v>113</v>
      </c>
      <c r="B31" s="1">
        <v>0.54700505733489901</v>
      </c>
      <c r="C31" s="3">
        <v>-1.55114758014678</v>
      </c>
      <c r="D31" s="3">
        <v>1</v>
      </c>
      <c r="E31" s="3">
        <v>1.4331971406936601</v>
      </c>
      <c r="F31" s="3">
        <v>0.46476069092750499</v>
      </c>
      <c r="G31">
        <v>-5.9240546226501403</v>
      </c>
      <c r="H31">
        <v>1.66647636890411</v>
      </c>
      <c r="I31">
        <v>5.8449749946594203</v>
      </c>
      <c r="J31">
        <v>-6.1480369567870996</v>
      </c>
      <c r="K31">
        <v>-7.0554866790771396</v>
      </c>
      <c r="L31">
        <v>-8.5455608367919904</v>
      </c>
      <c r="M31">
        <v>0.74765950441360396</v>
      </c>
      <c r="N31">
        <v>-2.8480994701385498</v>
      </c>
      <c r="O31">
        <v>-1.1342246532440099</v>
      </c>
      <c r="P31">
        <v>-1.67093181610107</v>
      </c>
      <c r="Q31">
        <v>1.7318912744521999</v>
      </c>
      <c r="R31">
        <v>1.73180127143859</v>
      </c>
      <c r="S31">
        <v>-0.34402966499328602</v>
      </c>
      <c r="T31">
        <v>-0.34132844209670998</v>
      </c>
      <c r="U31">
        <v>-0.46415358781814497</v>
      </c>
      <c r="V31">
        <v>-0.34677869081497098</v>
      </c>
      <c r="W31" s="5">
        <f t="shared" si="0"/>
        <v>-784.98044030618814</v>
      </c>
      <c r="Y31" s="20"/>
      <c r="Z31" s="20"/>
      <c r="AA31" s="20"/>
      <c r="AB31" s="20"/>
    </row>
    <row r="32" spans="1:28" x14ac:dyDescent="0.35">
      <c r="B32" s="2">
        <f t="shared" ref="B32:G32" si="1">AVERAGE(B2:B31)</f>
        <v>0.54686021010080943</v>
      </c>
      <c r="C32" s="3">
        <f>AVERAGE(C2:C31)</f>
        <v>-3.2683932165304777</v>
      </c>
      <c r="D32" s="3">
        <f t="shared" si="1"/>
        <v>1</v>
      </c>
      <c r="E32" s="3">
        <f t="shared" si="1"/>
        <v>1.4198185165723118</v>
      </c>
      <c r="F32" s="3">
        <f t="shared" si="1"/>
        <v>0.59571952919165272</v>
      </c>
      <c r="G32">
        <f t="shared" si="1"/>
        <v>-6.1256328423817905</v>
      </c>
      <c r="H32">
        <f t="shared" ref="H32" si="2">AVERAGE(H2:H31)</f>
        <v>1.2199300065636589</v>
      </c>
      <c r="I32">
        <f t="shared" ref="I32" si="3">AVERAGE(I2:I31)</f>
        <v>5.3921224594116177</v>
      </c>
      <c r="J32">
        <f t="shared" ref="J32:K32" si="4">AVERAGE(J2:J31)</f>
        <v>-2.3876549378037404</v>
      </c>
      <c r="K32">
        <f t="shared" si="4"/>
        <v>-3.3470296482245079</v>
      </c>
      <c r="L32">
        <f t="shared" ref="L32" si="5">AVERAGE(L2:L31)</f>
        <v>-4.7810589492320981</v>
      </c>
      <c r="M32">
        <f t="shared" ref="M32" si="6">AVERAGE(M2:M31)</f>
        <v>1.1153617009054848</v>
      </c>
      <c r="N32">
        <f t="shared" ref="N32:O32" si="7">AVERAGE(N2:N31)</f>
        <v>-2.3845180114110263</v>
      </c>
      <c r="O32">
        <f t="shared" si="7"/>
        <v>-0.69841947406530225</v>
      </c>
      <c r="P32">
        <f t="shared" ref="P32" si="8">AVERAGE(P2:P31)</f>
        <v>-3.4079484661420145</v>
      </c>
      <c r="Q32">
        <f t="shared" ref="Q32" si="9">AVERAGE(Q2:Q31)</f>
        <v>-0.10895443788419265</v>
      </c>
      <c r="R32">
        <f t="shared" ref="R32:S32" si="10">AVERAGE(R2:R31)</f>
        <v>-7.1283262843887626E-2</v>
      </c>
      <c r="S32">
        <f t="shared" si="10"/>
        <v>-0.70326057734588621</v>
      </c>
      <c r="T32">
        <f t="shared" ref="T32" si="11">AVERAGE(T2:T31)</f>
        <v>-0.74084133782889539</v>
      </c>
      <c r="U32">
        <f t="shared" ref="U32" si="12">AVERAGE(U2:U31)</f>
        <v>-0.84845352865134493</v>
      </c>
      <c r="V32">
        <f t="shared" ref="V32:W32" si="13">AVERAGE(V2:V31)</f>
        <v>-0.61836918909102523</v>
      </c>
      <c r="W32" s="1">
        <f t="shared" si="13"/>
        <v>-785.23144144303103</v>
      </c>
      <c r="Y32" s="20"/>
      <c r="Z32" s="20"/>
      <c r="AA32" s="20"/>
      <c r="AB32" s="20"/>
    </row>
    <row r="33" spans="2:28" x14ac:dyDescent="0.35">
      <c r="B33" s="17">
        <f>MAX(B2:B31)</f>
        <v>0.54796200990676802</v>
      </c>
      <c r="W33" s="19">
        <f>MAX(W2:W32)</f>
        <v>-783.32216781687873</v>
      </c>
      <c r="Y33" s="20"/>
      <c r="Z33" s="20"/>
      <c r="AA33" s="20"/>
      <c r="AB33" s="20"/>
    </row>
    <row r="34" spans="2:28" x14ac:dyDescent="0.35">
      <c r="Y34" s="20"/>
      <c r="Z34" s="20"/>
      <c r="AA34" s="20"/>
      <c r="AB34" s="20"/>
    </row>
    <row r="35" spans="2:28" x14ac:dyDescent="0.35">
      <c r="Y35" s="20"/>
      <c r="Z35" s="20"/>
      <c r="AA35" s="20"/>
      <c r="AB35" s="20"/>
    </row>
    <row r="36" spans="2:28" x14ac:dyDescent="0.35">
      <c r="Y36" s="20"/>
      <c r="Z36" s="20"/>
      <c r="AA36" s="20"/>
      <c r="AB36" s="20"/>
    </row>
    <row r="37" spans="2:28" x14ac:dyDescent="0.35">
      <c r="Y37" s="20"/>
      <c r="Z37" s="20"/>
      <c r="AA37" s="20"/>
      <c r="AB37" s="20"/>
    </row>
    <row r="54" spans="9:9" x14ac:dyDescent="0.35">
      <c r="I54" s="12"/>
    </row>
    <row r="55" spans="9:9" x14ac:dyDescent="0.35">
      <c r="I55" s="12"/>
    </row>
    <row r="56" spans="9:9" x14ac:dyDescent="0.35">
      <c r="I56" s="12"/>
    </row>
    <row r="57" spans="9:9" x14ac:dyDescent="0.35">
      <c r="I57" s="12"/>
    </row>
    <row r="58" spans="9:9" x14ac:dyDescent="0.35">
      <c r="I58" s="12"/>
    </row>
    <row r="59" spans="9:9" x14ac:dyDescent="0.35">
      <c r="I59" s="12"/>
    </row>
    <row r="60" spans="9:9" x14ac:dyDescent="0.35">
      <c r="I60" s="12"/>
    </row>
    <row r="61" spans="9:9" x14ac:dyDescent="0.35">
      <c r="I61" s="12"/>
    </row>
    <row r="62" spans="9:9" x14ac:dyDescent="0.35">
      <c r="I62" s="12"/>
    </row>
    <row r="63" spans="9:9" x14ac:dyDescent="0.35">
      <c r="I63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ECAC-5970-4F56-AE5D-F21CC299D45A}">
  <dimension ref="A1:AJ71"/>
  <sheetViews>
    <sheetView topLeftCell="A13" workbookViewId="0">
      <selection activeCell="AH40" sqref="AH40"/>
    </sheetView>
  </sheetViews>
  <sheetFormatPr defaultRowHeight="14.5" x14ac:dyDescent="0.35"/>
  <cols>
    <col min="1" max="1" width="10.26953125" customWidth="1"/>
    <col min="2" max="2" width="13.81640625" style="1" customWidth="1"/>
    <col min="3" max="3" width="15.1796875" style="1" customWidth="1"/>
    <col min="4" max="4" width="13.453125" style="1" bestFit="1" customWidth="1"/>
    <col min="5" max="5" width="11" style="1" customWidth="1"/>
    <col min="6" max="6" width="13.54296875" style="1" customWidth="1"/>
    <col min="7" max="7" width="10.453125" customWidth="1"/>
    <col min="8" max="11" width="13.453125" bestFit="1" customWidth="1"/>
    <col min="12" max="12" width="13.453125" style="9" bestFit="1" customWidth="1"/>
    <col min="13" max="13" width="15" style="1" customWidth="1"/>
    <col min="14" max="15" width="13.453125" style="1" bestFit="1" customWidth="1"/>
    <col min="16" max="16" width="14.453125" style="1" bestFit="1" customWidth="1"/>
    <col min="17" max="21" width="13.453125" bestFit="1" customWidth="1"/>
    <col min="22" max="22" width="14.453125" style="9" bestFit="1" customWidth="1"/>
    <col min="23" max="23" width="12.453125" style="1" customWidth="1"/>
    <col min="24" max="25" width="13.453125" style="1" bestFit="1" customWidth="1"/>
    <col min="26" max="26" width="14.453125" style="1" bestFit="1" customWidth="1"/>
    <col min="27" max="32" width="13.453125" bestFit="1" customWidth="1"/>
    <col min="33" max="33" width="14.7265625" bestFit="1" customWidth="1"/>
    <col min="34" max="34" width="13.453125" bestFit="1" customWidth="1"/>
    <col min="35" max="35" width="11.81640625" customWidth="1"/>
    <col min="36" max="36" width="10.54296875" bestFit="1" customWidth="1"/>
  </cols>
  <sheetData>
    <row r="1" spans="1:36" x14ac:dyDescent="0.35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s="9" t="s">
        <v>30</v>
      </c>
      <c r="M1" s="1" t="s">
        <v>47</v>
      </c>
      <c r="N1" s="1" t="s">
        <v>48</v>
      </c>
      <c r="O1" s="1" t="s">
        <v>49</v>
      </c>
      <c r="P1" s="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s="9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s="5">
        <v>-1732.8679999999999</v>
      </c>
      <c r="AI1" s="20"/>
      <c r="AJ1" s="21"/>
    </row>
    <row r="2" spans="1:36" x14ac:dyDescent="0.35">
      <c r="A2" t="s">
        <v>114</v>
      </c>
      <c r="B2" s="1">
        <v>0.54591453075408902</v>
      </c>
      <c r="C2" s="1">
        <v>-0.57613968849182096</v>
      </c>
      <c r="D2" s="1">
        <v>1</v>
      </c>
      <c r="E2" s="1">
        <v>1.4577159881591699</v>
      </c>
      <c r="F2" s="1">
        <v>1.19955289363861</v>
      </c>
      <c r="G2">
        <v>0.49546927213668801</v>
      </c>
      <c r="H2">
        <v>0.35875439643859802</v>
      </c>
      <c r="I2">
        <v>1.4010872840881301</v>
      </c>
      <c r="J2">
        <v>1.6598207950592001</v>
      </c>
      <c r="K2">
        <v>0.87910705804824796</v>
      </c>
      <c r="L2" s="9">
        <v>-1.43810451030731</v>
      </c>
      <c r="M2" s="1">
        <v>-0.55756312608718805</v>
      </c>
      <c r="N2" s="1">
        <v>1</v>
      </c>
      <c r="O2" s="1">
        <v>0.13814932107925401</v>
      </c>
      <c r="P2" s="1">
        <v>0.37802901864051802</v>
      </c>
      <c r="Q2">
        <v>0.63466721773147505</v>
      </c>
      <c r="R2">
        <v>-1.2910352945327701</v>
      </c>
      <c r="S2">
        <v>-1.5433048009872401</v>
      </c>
      <c r="T2">
        <v>-1.1638382673263501</v>
      </c>
      <c r="U2">
        <v>-0.19390687346458399</v>
      </c>
      <c r="V2" s="9">
        <v>-1.11739373207092</v>
      </c>
      <c r="W2" s="1">
        <v>-1.14298415184021</v>
      </c>
      <c r="X2" s="1">
        <v>1</v>
      </c>
      <c r="Y2" s="1">
        <v>0.81276452541351296</v>
      </c>
      <c r="Z2" s="1">
        <v>1.16384732723236</v>
      </c>
      <c r="AA2">
        <v>-10.843461990356399</v>
      </c>
      <c r="AB2">
        <v>-2.7804315090179399</v>
      </c>
      <c r="AC2">
        <v>1.1569395065307599</v>
      </c>
      <c r="AD2">
        <v>-0.59817087650298995</v>
      </c>
      <c r="AE2">
        <v>-1.72672986984252</v>
      </c>
      <c r="AF2">
        <v>-1.72093641757965</v>
      </c>
      <c r="AG2" s="5">
        <f>(1-B2)*$AG$1</f>
        <v>-786.87017892122321</v>
      </c>
      <c r="AI2" s="20"/>
      <c r="AJ2" s="21"/>
    </row>
    <row r="3" spans="1:36" x14ac:dyDescent="0.35">
      <c r="A3" t="s">
        <v>115</v>
      </c>
      <c r="B3" s="1">
        <v>0.52355581521987904</v>
      </c>
      <c r="C3" s="1">
        <v>-2.9920690059661799</v>
      </c>
      <c r="D3" s="1">
        <v>1</v>
      </c>
      <c r="E3" s="1">
        <v>0.55511242151260298</v>
      </c>
      <c r="F3" s="1">
        <v>0.230924412608146</v>
      </c>
      <c r="G3">
        <v>-6.4464468955993599</v>
      </c>
      <c r="H3">
        <v>0.147544980049133</v>
      </c>
      <c r="I3">
        <v>5.9632310867309499</v>
      </c>
      <c r="J3">
        <v>0.70853841304778997</v>
      </c>
      <c r="K3">
        <v>0.36700922250747597</v>
      </c>
      <c r="L3" s="9">
        <v>-0.71425747871398904</v>
      </c>
      <c r="M3" s="1">
        <v>-0.41443666815757702</v>
      </c>
      <c r="N3" s="1">
        <v>1</v>
      </c>
      <c r="O3" s="1">
        <v>0.343179941177368</v>
      </c>
      <c r="P3" s="1">
        <v>1.3950951099395701</v>
      </c>
      <c r="Q3">
        <v>-0.152393043041229</v>
      </c>
      <c r="R3">
        <v>-2.7811291217803902</v>
      </c>
      <c r="S3">
        <v>-1.76055467128753</v>
      </c>
      <c r="T3">
        <v>-0.56174015998840299</v>
      </c>
      <c r="U3">
        <v>-0.63339215517044001</v>
      </c>
      <c r="V3" s="9">
        <v>0.51452940702438299</v>
      </c>
      <c r="W3" s="1">
        <v>-4.9128487706184297E-2</v>
      </c>
      <c r="X3" s="1">
        <v>1</v>
      </c>
      <c r="Y3" s="1">
        <v>1.3652126789093</v>
      </c>
      <c r="Z3" s="1">
        <v>3.0182247161865199</v>
      </c>
      <c r="AA3">
        <v>1.8297097682952801</v>
      </c>
      <c r="AB3">
        <v>1.996715426445</v>
      </c>
      <c r="AC3">
        <v>-0.42353868484496998</v>
      </c>
      <c r="AD3">
        <v>0.65960615873336703</v>
      </c>
      <c r="AE3">
        <v>3.11991665512323E-2</v>
      </c>
      <c r="AF3">
        <v>-1.09216284751892</v>
      </c>
      <c r="AG3" s="5">
        <f t="shared" ref="AG3:AG31" si="0">(1-B3)*$AG$1</f>
        <v>-825.61488159155863</v>
      </c>
      <c r="AI3" s="20"/>
      <c r="AJ3" s="21"/>
    </row>
    <row r="4" spans="1:36" x14ac:dyDescent="0.35">
      <c r="A4" t="s">
        <v>116</v>
      </c>
      <c r="B4" s="1">
        <v>0.53393024206161499</v>
      </c>
      <c r="C4" s="1">
        <v>-1.1845388412475499</v>
      </c>
      <c r="D4" s="1">
        <v>1</v>
      </c>
      <c r="E4" s="1">
        <v>0.63379859924316395</v>
      </c>
      <c r="F4" s="1">
        <v>0.92424184083938599</v>
      </c>
      <c r="G4">
        <v>-8.0484886169433594</v>
      </c>
      <c r="H4">
        <v>-0.94899231195449796</v>
      </c>
      <c r="I4">
        <v>3.8317985534667902</v>
      </c>
      <c r="J4">
        <v>-1.4260435104370099</v>
      </c>
      <c r="K4">
        <v>-2.57241487503051</v>
      </c>
      <c r="L4" s="9">
        <v>-2.8355801105499201</v>
      </c>
      <c r="M4" s="1">
        <v>-0.64113736152648904</v>
      </c>
      <c r="N4" s="1">
        <v>1</v>
      </c>
      <c r="O4" s="1">
        <v>2.8189558982849099</v>
      </c>
      <c r="P4" s="1">
        <v>2.0725424289703298</v>
      </c>
      <c r="Q4">
        <v>-5.7203021049499503</v>
      </c>
      <c r="R4">
        <v>3.43270611763</v>
      </c>
      <c r="S4">
        <v>7.9362268447875897</v>
      </c>
      <c r="T4">
        <v>3.1295256614685001</v>
      </c>
      <c r="U4">
        <v>1.6909157037734901</v>
      </c>
      <c r="V4" s="9">
        <v>-3.3753983974456698</v>
      </c>
      <c r="W4" s="1">
        <v>0.13222488760948101</v>
      </c>
      <c r="X4" s="1">
        <v>1</v>
      </c>
      <c r="Y4" s="1">
        <v>0.14459113776683799</v>
      </c>
      <c r="Z4" s="1">
        <v>0.75979238748550404</v>
      </c>
      <c r="AA4">
        <v>-0.46149563789367598</v>
      </c>
      <c r="AB4">
        <v>-0.34214130043983398</v>
      </c>
      <c r="AC4">
        <v>0.24864703416824299</v>
      </c>
      <c r="AD4">
        <v>-0.31128767132759</v>
      </c>
      <c r="AE4">
        <v>-0.77192592620849598</v>
      </c>
      <c r="AF4">
        <v>-0.80241328477859497</v>
      </c>
      <c r="AG4" s="5">
        <f t="shared" si="0"/>
        <v>-807.63736929917332</v>
      </c>
      <c r="AI4" s="20"/>
      <c r="AJ4" s="21"/>
    </row>
    <row r="5" spans="1:36" x14ac:dyDescent="0.35">
      <c r="A5" t="s">
        <v>90</v>
      </c>
      <c r="B5" s="1">
        <v>0.53104585409164395</v>
      </c>
      <c r="C5" s="1">
        <v>-3.9124577045440598</v>
      </c>
      <c r="D5" s="1">
        <v>1</v>
      </c>
      <c r="E5" s="1">
        <v>0.57120478153228704</v>
      </c>
      <c r="F5" s="1">
        <v>0.49890711903571999</v>
      </c>
      <c r="G5">
        <v>-4.6268606185912997</v>
      </c>
      <c r="H5">
        <v>0.47812232375144897</v>
      </c>
      <c r="I5">
        <v>4.33239650726318</v>
      </c>
      <c r="J5">
        <v>-0.149704590439796</v>
      </c>
      <c r="K5">
        <v>0.106685988605022</v>
      </c>
      <c r="L5" s="9">
        <v>-0.15031039714813199</v>
      </c>
      <c r="M5" s="1">
        <v>-11.5254154205322</v>
      </c>
      <c r="N5" s="1">
        <v>1</v>
      </c>
      <c r="O5" s="1">
        <v>5.5077943801879803</v>
      </c>
      <c r="P5" s="1">
        <v>7.8498721122741699</v>
      </c>
      <c r="Q5">
        <v>6.5633773803710902</v>
      </c>
      <c r="R5">
        <v>9.3277091979980398</v>
      </c>
      <c r="S5">
        <v>5.2150316238403303</v>
      </c>
      <c r="T5">
        <v>-2.6222438812255802</v>
      </c>
      <c r="U5">
        <v>-4.67970466613769</v>
      </c>
      <c r="V5" s="9">
        <v>-5.02900838851928</v>
      </c>
      <c r="W5" s="1">
        <v>-1.34599208831787</v>
      </c>
      <c r="X5" s="1">
        <v>1</v>
      </c>
      <c r="Y5" s="1">
        <v>1.2677849531173699</v>
      </c>
      <c r="Z5" s="1">
        <v>0.63508713245391801</v>
      </c>
      <c r="AA5">
        <v>-5.6478235870599698E-2</v>
      </c>
      <c r="AB5">
        <v>2.0551562309265099E-2</v>
      </c>
      <c r="AC5">
        <v>0.20958454906940399</v>
      </c>
      <c r="AD5">
        <v>1.1400167942047099</v>
      </c>
      <c r="AE5">
        <v>-1.1030520200729299</v>
      </c>
      <c r="AF5">
        <v>-0.93431973457336404</v>
      </c>
      <c r="AG5" s="5">
        <f t="shared" si="0"/>
        <v>-812.63563291192111</v>
      </c>
      <c r="AI5" s="20"/>
      <c r="AJ5" s="21"/>
    </row>
    <row r="6" spans="1:36" x14ac:dyDescent="0.35">
      <c r="A6" t="s">
        <v>117</v>
      </c>
      <c r="B6" s="1">
        <v>0.52974665164947499</v>
      </c>
      <c r="C6" s="1">
        <v>-0.38514068722724898</v>
      </c>
      <c r="D6" s="1">
        <v>1</v>
      </c>
      <c r="E6" s="1">
        <v>0.36037945747375399</v>
      </c>
      <c r="F6" s="1">
        <v>1.3748848438262899</v>
      </c>
      <c r="G6">
        <v>-1.16668653488159</v>
      </c>
      <c r="H6">
        <v>-1.18125677108764</v>
      </c>
      <c r="I6">
        <v>2.5710423942655299E-3</v>
      </c>
      <c r="J6">
        <v>1.6972484588623</v>
      </c>
      <c r="K6">
        <v>-3.8846077919006299</v>
      </c>
      <c r="L6" s="9">
        <v>-3.8755216598510698</v>
      </c>
      <c r="M6" s="1">
        <v>6.1516413688659597</v>
      </c>
      <c r="N6" s="1">
        <v>1</v>
      </c>
      <c r="O6" s="1">
        <v>1.49438381195068</v>
      </c>
      <c r="P6" s="1">
        <v>2.5708119869232098</v>
      </c>
      <c r="Q6">
        <v>-2.92684626579284</v>
      </c>
      <c r="R6">
        <v>1.40575659275054</v>
      </c>
      <c r="S6">
        <v>1.8582906723022401</v>
      </c>
      <c r="T6">
        <v>-0.20640109479427299</v>
      </c>
      <c r="U6">
        <v>-0.26799237728118802</v>
      </c>
      <c r="V6" s="9">
        <v>-9.3577153980731895E-2</v>
      </c>
      <c r="W6" s="1">
        <v>-8.4398202896118093</v>
      </c>
      <c r="X6" s="1">
        <v>1</v>
      </c>
      <c r="Y6" s="1">
        <v>0.81312602758407504</v>
      </c>
      <c r="Z6" s="1">
        <v>0.88761961460113503</v>
      </c>
      <c r="AA6">
        <v>-4.7166886329650799</v>
      </c>
      <c r="AB6">
        <v>3.8686468601226802</v>
      </c>
      <c r="AC6">
        <v>4.7560148239135698</v>
      </c>
      <c r="AD6">
        <v>-0.71881645917892401</v>
      </c>
      <c r="AE6">
        <v>0.87593537569045998</v>
      </c>
      <c r="AF6">
        <v>-0.71200114488601596</v>
      </c>
      <c r="AG6" s="5">
        <f t="shared" si="0"/>
        <v>-814.88697924947758</v>
      </c>
      <c r="AI6" s="20"/>
      <c r="AJ6" s="21"/>
    </row>
    <row r="7" spans="1:36" x14ac:dyDescent="0.35">
      <c r="A7" t="s">
        <v>118</v>
      </c>
      <c r="B7" s="1">
        <v>0.569993376731872</v>
      </c>
      <c r="C7" s="1">
        <v>-1.9215898513793901</v>
      </c>
      <c r="D7" s="1">
        <v>1</v>
      </c>
      <c r="E7" s="1">
        <v>0.77255195379257202</v>
      </c>
      <c r="F7" s="1">
        <v>0.63372117280960005</v>
      </c>
      <c r="G7">
        <v>-5.5678634643554599</v>
      </c>
      <c r="H7">
        <v>1.5290495157241799</v>
      </c>
      <c r="I7">
        <v>5.7713065147399902</v>
      </c>
      <c r="J7">
        <v>-6.4551973342895499</v>
      </c>
      <c r="K7">
        <v>-7.58265829086303</v>
      </c>
      <c r="L7" s="9">
        <v>-8.4827146530151296</v>
      </c>
      <c r="M7" s="1">
        <v>3.3400034904479901</v>
      </c>
      <c r="N7" s="1">
        <v>1</v>
      </c>
      <c r="O7" s="1">
        <v>2.85920906066894</v>
      </c>
      <c r="P7" s="1">
        <v>1.3277341127395601</v>
      </c>
      <c r="Q7">
        <v>-1.5838332176208401</v>
      </c>
      <c r="R7">
        <v>1.5872950553894001</v>
      </c>
      <c r="S7">
        <v>0.95991611480712802</v>
      </c>
      <c r="T7">
        <v>-3.6933419704437198</v>
      </c>
      <c r="U7">
        <v>-4.7004246711730904</v>
      </c>
      <c r="V7" s="9">
        <v>-6.3243241310119602</v>
      </c>
      <c r="W7" s="1">
        <v>1.8129049539566</v>
      </c>
      <c r="X7" s="1">
        <v>1</v>
      </c>
      <c r="Y7" s="1">
        <v>2.0052301883697501</v>
      </c>
      <c r="Z7" s="1">
        <v>0.97291809320449796</v>
      </c>
      <c r="AA7">
        <v>-3.3402006626129102</v>
      </c>
      <c r="AB7">
        <v>2.8311080932617099</v>
      </c>
      <c r="AC7">
        <v>3.2999789714813201</v>
      </c>
      <c r="AD7">
        <v>-0.308477133512496</v>
      </c>
      <c r="AE7">
        <v>7.7554449439048698E-2</v>
      </c>
      <c r="AF7">
        <v>-0.85453248023986805</v>
      </c>
      <c r="AG7" s="5">
        <f t="shared" si="0"/>
        <v>-745.14471724939438</v>
      </c>
      <c r="AI7" s="20"/>
      <c r="AJ7" s="21"/>
    </row>
    <row r="8" spans="1:36" x14ac:dyDescent="0.35">
      <c r="A8" t="s">
        <v>95</v>
      </c>
      <c r="B8" s="1">
        <v>0.55603182315826405</v>
      </c>
      <c r="C8" s="1">
        <v>0.92980182170867898</v>
      </c>
      <c r="D8" s="1">
        <v>1</v>
      </c>
      <c r="E8" s="1">
        <v>0.41948658227920499</v>
      </c>
      <c r="F8" s="1">
        <v>0.53324550390243497</v>
      </c>
      <c r="G8">
        <v>0.51011127233505205</v>
      </c>
      <c r="H8">
        <v>1.5269761085510201</v>
      </c>
      <c r="I8">
        <v>-1.1358666419982899</v>
      </c>
      <c r="J8">
        <v>-1.93882012367248</v>
      </c>
      <c r="K8">
        <v>1.9572441577911299</v>
      </c>
      <c r="L8" s="9">
        <v>-2.16856384277343</v>
      </c>
      <c r="M8" s="1">
        <v>-4.9865407943725497</v>
      </c>
      <c r="N8" s="1">
        <v>1</v>
      </c>
      <c r="O8" s="1">
        <v>0.97626680135726895</v>
      </c>
      <c r="P8" s="1">
        <v>0.25356128811836198</v>
      </c>
      <c r="Q8">
        <v>-5.0901026725768999</v>
      </c>
      <c r="R8">
        <v>1.7183934450149501</v>
      </c>
      <c r="S8">
        <v>4.9891667366027797</v>
      </c>
      <c r="T8">
        <v>-2.2238376140594398</v>
      </c>
      <c r="U8">
        <v>-3.49934577941894</v>
      </c>
      <c r="V8" s="9">
        <v>-3.4987208843231201</v>
      </c>
      <c r="W8" s="1">
        <v>-2.3622460365295401</v>
      </c>
      <c r="X8" s="1">
        <v>1</v>
      </c>
      <c r="Y8" s="1">
        <v>4.0842914581298801</v>
      </c>
      <c r="Z8" s="1">
        <v>3.1787743568420401</v>
      </c>
      <c r="AA8">
        <v>-1.95731961727142</v>
      </c>
      <c r="AB8">
        <v>0.97358727455139105</v>
      </c>
      <c r="AC8">
        <v>2.9288854598999001</v>
      </c>
      <c r="AD8">
        <v>-1.06211233139038</v>
      </c>
      <c r="AE8">
        <v>-1.03589391708374</v>
      </c>
      <c r="AF8">
        <v>-1.1726423501968299</v>
      </c>
      <c r="AG8" s="5">
        <f t="shared" si="0"/>
        <v>-769.33824666738531</v>
      </c>
      <c r="AI8" s="20"/>
      <c r="AJ8" s="21"/>
    </row>
    <row r="9" spans="1:36" x14ac:dyDescent="0.35">
      <c r="A9" t="s">
        <v>119</v>
      </c>
      <c r="B9" s="1">
        <v>0.55957227945327703</v>
      </c>
      <c r="C9" s="1">
        <v>-4.1004304885864196</v>
      </c>
      <c r="D9" s="1">
        <v>1</v>
      </c>
      <c r="E9" s="1">
        <v>1.21570444107055</v>
      </c>
      <c r="F9" s="1">
        <v>0.25201168656349099</v>
      </c>
      <c r="G9">
        <v>-4.4014935493469203</v>
      </c>
      <c r="H9">
        <v>2.9113249778747501</v>
      </c>
      <c r="I9">
        <v>4.4009833335876403</v>
      </c>
      <c r="J9">
        <v>-6.3605837821960396</v>
      </c>
      <c r="K9">
        <v>-7.5384945869445801</v>
      </c>
      <c r="L9" s="9">
        <v>-8.53662014007568</v>
      </c>
      <c r="M9" s="1">
        <v>-0.98553711175918501</v>
      </c>
      <c r="N9" s="1">
        <v>1</v>
      </c>
      <c r="O9" s="1">
        <v>0.21296922862529699</v>
      </c>
      <c r="P9" s="1">
        <v>0.52961379289626997</v>
      </c>
      <c r="Q9">
        <v>-1.06499230861663</v>
      </c>
      <c r="R9">
        <v>0.74960982799529996</v>
      </c>
      <c r="S9">
        <v>0.231558382511138</v>
      </c>
      <c r="T9">
        <v>-5.6676119565963697E-2</v>
      </c>
      <c r="U9">
        <v>8.8935405015945407E-2</v>
      </c>
      <c r="V9" s="9">
        <v>2.98419818282127E-2</v>
      </c>
      <c r="W9" s="1">
        <v>-1.85843098163604</v>
      </c>
      <c r="X9" s="1">
        <v>1</v>
      </c>
      <c r="Y9" s="1">
        <v>1.53688275814056</v>
      </c>
      <c r="Z9" s="1">
        <v>3.34430956840515</v>
      </c>
      <c r="AA9">
        <v>-3.8759448528289702</v>
      </c>
      <c r="AB9">
        <v>3.44842004776</v>
      </c>
      <c r="AC9">
        <v>3.6083133220672599</v>
      </c>
      <c r="AD9">
        <v>-5.5336371064185999E-2</v>
      </c>
      <c r="AE9">
        <v>0.719673871994018</v>
      </c>
      <c r="AF9">
        <v>-0.17232008278369901</v>
      </c>
      <c r="AG9" s="5">
        <f t="shared" si="0"/>
        <v>-763.20310324835873</v>
      </c>
      <c r="AI9" s="20"/>
      <c r="AJ9" s="21"/>
    </row>
    <row r="10" spans="1:36" x14ac:dyDescent="0.35">
      <c r="A10" t="s">
        <v>43</v>
      </c>
      <c r="B10" s="1">
        <v>0.56258273124694802</v>
      </c>
      <c r="C10" s="1">
        <v>-1.6360560655593801</v>
      </c>
      <c r="D10" s="1">
        <v>1</v>
      </c>
      <c r="E10" s="1">
        <v>0.422180205583572</v>
      </c>
      <c r="F10" s="1">
        <v>0.45964279770851102</v>
      </c>
      <c r="G10">
        <v>-0.464707791805267</v>
      </c>
      <c r="H10">
        <v>0.86295449733734098</v>
      </c>
      <c r="I10">
        <v>0.389602720737457</v>
      </c>
      <c r="J10">
        <v>2.0678131580352699</v>
      </c>
      <c r="K10">
        <v>-1.9098719358444201</v>
      </c>
      <c r="L10" s="9">
        <v>1.8866543769836399</v>
      </c>
      <c r="M10" s="1">
        <v>-0.40772160887718201</v>
      </c>
      <c r="N10" s="1">
        <v>1</v>
      </c>
      <c r="O10" s="1">
        <v>1.0747550725936801</v>
      </c>
      <c r="P10" s="1">
        <v>0.24818924069404599</v>
      </c>
      <c r="Q10">
        <v>-5.6926774978637598</v>
      </c>
      <c r="R10">
        <v>2.0017509460449201</v>
      </c>
      <c r="S10">
        <v>4.9612445831298801</v>
      </c>
      <c r="T10">
        <v>-8.1833944320678693</v>
      </c>
      <c r="U10">
        <v>-9.3481779098510707</v>
      </c>
      <c r="V10" s="9">
        <v>-9.3624591827392507</v>
      </c>
      <c r="W10" s="1">
        <v>-2.8899161815643302</v>
      </c>
      <c r="X10" s="1">
        <v>1</v>
      </c>
      <c r="Y10" s="1">
        <v>2.6334414482116699</v>
      </c>
      <c r="Z10" s="1">
        <v>5.3563337326049796</v>
      </c>
      <c r="AA10">
        <v>-10.053722381591699</v>
      </c>
      <c r="AB10">
        <v>-10.0913829803466</v>
      </c>
      <c r="AC10">
        <v>2.7361099720001198</v>
      </c>
      <c r="AD10">
        <v>5.3672528266906703</v>
      </c>
      <c r="AE10">
        <v>6.44341993331909</v>
      </c>
      <c r="AF10">
        <v>-3.1838560104370099</v>
      </c>
      <c r="AG10" s="5">
        <f t="shared" si="0"/>
        <v>-757.98638766956367</v>
      </c>
      <c r="AI10" s="20"/>
      <c r="AJ10" s="21"/>
    </row>
    <row r="11" spans="1:36" x14ac:dyDescent="0.35">
      <c r="A11" t="s">
        <v>120</v>
      </c>
      <c r="B11" s="1">
        <v>0.54638397693634</v>
      </c>
      <c r="C11" s="1">
        <v>-0.38196837902068997</v>
      </c>
      <c r="D11" s="1">
        <v>1</v>
      </c>
      <c r="E11" s="1">
        <v>1.4985208511352499</v>
      </c>
      <c r="F11" s="1">
        <v>0.36439892649650502</v>
      </c>
      <c r="G11">
        <v>-3.52765536308288</v>
      </c>
      <c r="H11">
        <v>0.54733622074127197</v>
      </c>
      <c r="I11">
        <v>3.6565318107604901</v>
      </c>
      <c r="J11">
        <v>2.0353593826293901</v>
      </c>
      <c r="K11">
        <v>1.6578176021575901</v>
      </c>
      <c r="L11" s="9">
        <v>-1.8789924383163401</v>
      </c>
      <c r="M11" s="1">
        <v>-0.12266663461923499</v>
      </c>
      <c r="N11" s="1">
        <v>1</v>
      </c>
      <c r="O11" s="1">
        <v>0.118547640740871</v>
      </c>
      <c r="P11" s="1">
        <v>0.12874037027359</v>
      </c>
      <c r="Q11">
        <v>-0.63754707574844305</v>
      </c>
      <c r="R11">
        <v>-0.92002040147781305</v>
      </c>
      <c r="S11">
        <v>0.94413858652114802</v>
      </c>
      <c r="T11">
        <v>3.0125244520604602E-3</v>
      </c>
      <c r="U11">
        <v>0.11463391780853199</v>
      </c>
      <c r="V11" s="9">
        <v>0.10303931683301901</v>
      </c>
      <c r="W11" s="1">
        <v>-4.2346048355102504</v>
      </c>
      <c r="X11" s="1">
        <v>1</v>
      </c>
      <c r="Y11" s="1">
        <v>0.73536217212677002</v>
      </c>
      <c r="Z11" s="1">
        <v>1.0715205669403001</v>
      </c>
      <c r="AA11">
        <v>-5.5699706077575604</v>
      </c>
      <c r="AB11">
        <v>1.2687366008758501</v>
      </c>
      <c r="AC11">
        <v>5.7005863189697203</v>
      </c>
      <c r="AD11">
        <v>-1.6195591688156099</v>
      </c>
      <c r="AE11">
        <v>-2.79384064674377</v>
      </c>
      <c r="AF11">
        <v>-2.9804356098175</v>
      </c>
      <c r="AG11" s="5">
        <f t="shared" si="0"/>
        <v>-786.05669065427833</v>
      </c>
      <c r="AI11" s="20"/>
      <c r="AJ11" s="21"/>
    </row>
    <row r="12" spans="1:36" x14ac:dyDescent="0.35">
      <c r="A12" t="s">
        <v>45</v>
      </c>
      <c r="B12" s="1">
        <v>0.53322565555572499</v>
      </c>
      <c r="C12" s="1">
        <v>0.56938666105270297</v>
      </c>
      <c r="D12" s="1">
        <v>1</v>
      </c>
      <c r="E12" s="1">
        <v>3.0213084220886199</v>
      </c>
      <c r="F12" s="1">
        <v>1.3175642490386901</v>
      </c>
      <c r="G12">
        <v>-2.47427773475646</v>
      </c>
      <c r="H12">
        <v>2.5375401973724299</v>
      </c>
      <c r="I12">
        <v>1.6330920457839899</v>
      </c>
      <c r="J12">
        <v>-5.22640037536621</v>
      </c>
      <c r="K12">
        <v>-5.0642814636230398</v>
      </c>
      <c r="L12" s="9">
        <v>-2.9825313091278001</v>
      </c>
      <c r="M12" s="1">
        <v>-2.95701909065246</v>
      </c>
      <c r="N12" s="1">
        <v>1</v>
      </c>
      <c r="O12" s="1">
        <v>0.76118826866149902</v>
      </c>
      <c r="P12" s="1">
        <v>0.94802713394164995</v>
      </c>
      <c r="Q12">
        <v>-5.9641852378845197</v>
      </c>
      <c r="R12">
        <v>6.9260418415069497E-2</v>
      </c>
      <c r="S12">
        <v>5.9095606803893999</v>
      </c>
      <c r="T12">
        <v>-0.224540084600448</v>
      </c>
      <c r="U12">
        <v>-1.5474325418472199</v>
      </c>
      <c r="V12" s="9">
        <v>-1.5809154510498</v>
      </c>
      <c r="W12" s="1">
        <v>-1.2014535665512001</v>
      </c>
      <c r="X12" s="1">
        <v>1</v>
      </c>
      <c r="Y12" s="1">
        <v>0.21044267714023501</v>
      </c>
      <c r="Z12" s="1">
        <v>0.100290454924106</v>
      </c>
      <c r="AA12">
        <v>-0.84173691272735596</v>
      </c>
      <c r="AB12">
        <v>0.92721539735794001</v>
      </c>
      <c r="AC12">
        <v>-0.82859259843826205</v>
      </c>
      <c r="AD12">
        <v>-2.4734125137329102</v>
      </c>
      <c r="AE12">
        <v>-2.46428370475769</v>
      </c>
      <c r="AF12">
        <v>-2.3010449409484801</v>
      </c>
      <c r="AG12" s="5">
        <f t="shared" si="0"/>
        <v>-808.85832470846196</v>
      </c>
      <c r="AI12" s="20"/>
      <c r="AJ12" s="21"/>
    </row>
    <row r="13" spans="1:36" x14ac:dyDescent="0.35">
      <c r="A13" t="s">
        <v>121</v>
      </c>
      <c r="B13" s="1">
        <v>0.52456998825073198</v>
      </c>
      <c r="C13" s="1">
        <v>2.0693669319152801</v>
      </c>
      <c r="D13" s="1">
        <v>1</v>
      </c>
      <c r="E13" s="1">
        <v>1.25305235385894</v>
      </c>
      <c r="F13" s="1">
        <v>1.0415110588073699</v>
      </c>
      <c r="G13">
        <v>-2.4229745864868102</v>
      </c>
      <c r="H13">
        <v>1.7714054584503101</v>
      </c>
      <c r="I13">
        <v>2.4274907112121502</v>
      </c>
      <c r="J13">
        <v>2.3210670948028498</v>
      </c>
      <c r="K13">
        <v>0.194931745529174</v>
      </c>
      <c r="L13" s="9">
        <v>-2.0114622116088801</v>
      </c>
      <c r="M13" s="1">
        <v>0.98140060901641801</v>
      </c>
      <c r="N13" s="1">
        <v>1</v>
      </c>
      <c r="O13" s="1">
        <v>0.58438128232955899</v>
      </c>
      <c r="P13" s="1">
        <v>0.75123220682144098</v>
      </c>
      <c r="Q13">
        <v>-5.8591823577880797</v>
      </c>
      <c r="R13">
        <v>0.42323604226112299</v>
      </c>
      <c r="S13">
        <v>5.0956506729125897</v>
      </c>
      <c r="T13">
        <v>-4.2764830589294398</v>
      </c>
      <c r="U13">
        <v>-5.0926713943481401</v>
      </c>
      <c r="V13" s="9">
        <v>-5.2217226028442303</v>
      </c>
      <c r="W13" s="1">
        <v>-0.81906270980834905</v>
      </c>
      <c r="X13" s="1">
        <v>1</v>
      </c>
      <c r="Y13" s="1">
        <v>0.27899339795112599</v>
      </c>
      <c r="Z13" s="1">
        <v>1.5829001665115301</v>
      </c>
      <c r="AA13">
        <v>-1.1089327335357599</v>
      </c>
      <c r="AB13">
        <v>1.1606355905532799</v>
      </c>
      <c r="AC13">
        <v>-0.507784724235534</v>
      </c>
      <c r="AD13">
        <v>1.69823682308197</v>
      </c>
      <c r="AE13">
        <v>1.03886866569519</v>
      </c>
      <c r="AF13">
        <v>-0.78319108486175504</v>
      </c>
      <c r="AG13" s="5">
        <f t="shared" si="0"/>
        <v>-823.85745359993052</v>
      </c>
      <c r="AI13" s="20"/>
      <c r="AJ13" s="21"/>
    </row>
    <row r="14" spans="1:36" x14ac:dyDescent="0.35">
      <c r="A14" t="s">
        <v>122</v>
      </c>
      <c r="B14" s="1">
        <v>0.53200662136077803</v>
      </c>
      <c r="C14" s="1">
        <v>-2.37775254249572</v>
      </c>
      <c r="D14" s="1">
        <v>1</v>
      </c>
      <c r="E14" s="1">
        <v>0.67839109897613503</v>
      </c>
      <c r="F14" s="1">
        <v>0.88351953029632502</v>
      </c>
      <c r="G14">
        <v>-5.6850695610046298</v>
      </c>
      <c r="H14">
        <v>1.7813017368316599</v>
      </c>
      <c r="I14">
        <v>5.37231016159057</v>
      </c>
      <c r="J14">
        <v>-2.2936623096465998</v>
      </c>
      <c r="K14">
        <v>-3.1897552013397199</v>
      </c>
      <c r="L14" s="9">
        <v>-4.40692138671875</v>
      </c>
      <c r="M14" s="1">
        <v>-4.5230078697204501</v>
      </c>
      <c r="N14" s="1">
        <v>1</v>
      </c>
      <c r="O14" s="1">
        <v>1.4635919332504199</v>
      </c>
      <c r="P14" s="1">
        <v>3.4630928039550701</v>
      </c>
      <c r="Q14">
        <v>3.6515812873840301</v>
      </c>
      <c r="R14">
        <v>3.66958427429199</v>
      </c>
      <c r="S14">
        <v>3.9500865936279199</v>
      </c>
      <c r="T14">
        <v>0.26677021384239102</v>
      </c>
      <c r="U14">
        <v>-0.90217089653015103</v>
      </c>
      <c r="V14" s="9">
        <v>-6.2847793102264404E-2</v>
      </c>
      <c r="W14" s="1">
        <v>-5.3748216480016701E-2</v>
      </c>
      <c r="X14" s="1">
        <v>1</v>
      </c>
      <c r="Y14" s="1">
        <v>0.26649549603462203</v>
      </c>
      <c r="Z14" s="1">
        <v>0.32936683297157199</v>
      </c>
      <c r="AA14">
        <v>-0.36306387186050398</v>
      </c>
      <c r="AB14">
        <v>0.12806302309036199</v>
      </c>
      <c r="AC14">
        <v>-0.35401993989944402</v>
      </c>
      <c r="AD14">
        <v>-0.105099700391292</v>
      </c>
      <c r="AE14">
        <v>-0.175127863883972</v>
      </c>
      <c r="AF14">
        <v>-0.164480701088905</v>
      </c>
      <c r="AG14" s="5">
        <f t="shared" si="0"/>
        <v>-810.97075005579131</v>
      </c>
      <c r="AI14" s="20"/>
      <c r="AJ14" s="21"/>
    </row>
    <row r="15" spans="1:36" x14ac:dyDescent="0.35">
      <c r="A15" t="s">
        <v>68</v>
      </c>
      <c r="B15" s="1">
        <v>0.53425538539886397</v>
      </c>
      <c r="C15" s="1">
        <v>-1.4188652038574201</v>
      </c>
      <c r="D15" s="1">
        <v>1</v>
      </c>
      <c r="E15" s="1">
        <v>0.458211839199066</v>
      </c>
      <c r="F15" s="1">
        <v>0.23342320322990401</v>
      </c>
      <c r="G15">
        <v>-4.9231901168823198</v>
      </c>
      <c r="H15">
        <v>-1.00059962272644</v>
      </c>
      <c r="I15">
        <v>4.4559845924377397</v>
      </c>
      <c r="J15">
        <v>-1.50819563865661</v>
      </c>
      <c r="K15">
        <v>-1.9683423042297301</v>
      </c>
      <c r="L15" s="9">
        <v>-1.72559595108032</v>
      </c>
      <c r="M15" s="1">
        <v>-1.5990899801254199</v>
      </c>
      <c r="N15" s="1">
        <v>1</v>
      </c>
      <c r="O15" s="1">
        <v>4.2055945396423304</v>
      </c>
      <c r="P15" s="1">
        <v>0.59254169464111295</v>
      </c>
      <c r="Q15">
        <v>-4.5360808372497496</v>
      </c>
      <c r="R15">
        <v>-2.84447073936462</v>
      </c>
      <c r="S15">
        <v>2.78011775016784</v>
      </c>
      <c r="T15">
        <v>-0.69061630964279097</v>
      </c>
      <c r="U15">
        <v>6.9691635668277699E-2</v>
      </c>
      <c r="V15" s="9">
        <v>0.76064717769622803</v>
      </c>
      <c r="W15" s="1">
        <v>-0.75321215391159002</v>
      </c>
      <c r="X15" s="1">
        <v>1</v>
      </c>
      <c r="Y15" s="1">
        <v>0.77599632740020696</v>
      </c>
      <c r="Z15" s="1">
        <v>1.3458000421523999</v>
      </c>
      <c r="AA15">
        <v>-7.8376798629760698</v>
      </c>
      <c r="AB15">
        <v>4.3966727256774902</v>
      </c>
      <c r="AC15">
        <v>-1.2732582092285101</v>
      </c>
      <c r="AD15">
        <v>0.48689034581184298</v>
      </c>
      <c r="AE15">
        <v>-1.4998646974563501</v>
      </c>
      <c r="AF15">
        <v>-5.5457997322082502</v>
      </c>
      <c r="AG15" s="5">
        <f t="shared" si="0"/>
        <v>-807.07393881464134</v>
      </c>
      <c r="AI15" s="20"/>
      <c r="AJ15" s="21"/>
    </row>
    <row r="16" spans="1:36" x14ac:dyDescent="0.35">
      <c r="A16" t="s">
        <v>123</v>
      </c>
      <c r="B16" s="1">
        <v>0.522241830825805</v>
      </c>
      <c r="C16" s="1">
        <v>-5.2155776023864702</v>
      </c>
      <c r="D16" s="1">
        <v>1</v>
      </c>
      <c r="E16" s="1">
        <v>0.81518864631652799</v>
      </c>
      <c r="F16" s="1">
        <v>0.15664203464984799</v>
      </c>
      <c r="G16">
        <v>-6.0043778419494602</v>
      </c>
      <c r="H16">
        <v>1.11494469642639</v>
      </c>
      <c r="I16">
        <v>5.5862312316894496</v>
      </c>
      <c r="J16">
        <v>-0.46148502826690602</v>
      </c>
      <c r="K16">
        <v>-0.41838577389717102</v>
      </c>
      <c r="L16" s="9">
        <v>-0.19340291619300801</v>
      </c>
      <c r="M16" s="1">
        <v>0.28203120827674799</v>
      </c>
      <c r="N16" s="1">
        <v>1</v>
      </c>
      <c r="O16" s="1">
        <v>0.122803457081317</v>
      </c>
      <c r="P16" s="1">
        <v>0.10760963708162299</v>
      </c>
      <c r="Q16">
        <v>-4.2156923562288201E-2</v>
      </c>
      <c r="R16">
        <v>-0.341315537691116</v>
      </c>
      <c r="S16">
        <v>-0.16627542674541401</v>
      </c>
      <c r="T16">
        <v>-0.47708532214164701</v>
      </c>
      <c r="U16">
        <v>0.29566237330436701</v>
      </c>
      <c r="V16" s="9">
        <v>-0.35323446989059398</v>
      </c>
      <c r="W16" s="1">
        <v>8.07763671875</v>
      </c>
      <c r="X16" s="1">
        <v>1</v>
      </c>
      <c r="Y16" s="1">
        <v>0.37725624442100503</v>
      </c>
      <c r="Z16" s="1">
        <v>6.5584602355956996</v>
      </c>
      <c r="AA16">
        <v>0.624384105205535</v>
      </c>
      <c r="AB16">
        <v>6.0029525756835902</v>
      </c>
      <c r="AC16">
        <v>-2.6514708995818999</v>
      </c>
      <c r="AD16">
        <v>4.0189189910888601</v>
      </c>
      <c r="AE16">
        <v>-5.2667131423950098</v>
      </c>
      <c r="AF16">
        <v>-5.12092685699462</v>
      </c>
      <c r="AG16" s="5">
        <f t="shared" si="0"/>
        <v>-827.89184310054895</v>
      </c>
      <c r="AI16" s="20"/>
      <c r="AJ16" s="21"/>
    </row>
    <row r="17" spans="1:36" x14ac:dyDescent="0.35">
      <c r="A17" t="s">
        <v>124</v>
      </c>
      <c r="B17" s="1">
        <v>0.52516829967498702</v>
      </c>
      <c r="C17" s="1">
        <v>-0.33475518226623502</v>
      </c>
      <c r="D17" s="1">
        <v>1</v>
      </c>
      <c r="E17" s="1">
        <v>0.20783594250678999</v>
      </c>
      <c r="F17" s="1">
        <v>0.48682248592376698</v>
      </c>
      <c r="G17">
        <v>-2.9434714317321702</v>
      </c>
      <c r="H17">
        <v>-1.18213939666748</v>
      </c>
      <c r="I17">
        <v>2.9768116474151598</v>
      </c>
      <c r="J17">
        <v>-0.34116414189338601</v>
      </c>
      <c r="K17">
        <v>-0.985717892646789</v>
      </c>
      <c r="L17" s="9">
        <v>-1.00911045074462</v>
      </c>
      <c r="M17" s="1">
        <v>-9.7493696212768501</v>
      </c>
      <c r="N17" s="1">
        <v>1</v>
      </c>
      <c r="O17" s="1">
        <v>1.08809125423431</v>
      </c>
      <c r="P17" s="1">
        <v>0.99282091856002797</v>
      </c>
      <c r="Q17">
        <v>-6.6817545890808097</v>
      </c>
      <c r="R17">
        <v>6.6763100624084402</v>
      </c>
      <c r="S17">
        <v>6.0853137969970703</v>
      </c>
      <c r="T17">
        <v>-1.38930416107177</v>
      </c>
      <c r="U17">
        <v>-1.1019254922866799</v>
      </c>
      <c r="V17" s="9">
        <v>-2.9718201160430899</v>
      </c>
      <c r="W17" s="1">
        <v>0.183991104364395</v>
      </c>
      <c r="X17" s="1">
        <v>1</v>
      </c>
      <c r="Y17" s="1">
        <v>1.32179367542266</v>
      </c>
      <c r="Z17" s="1">
        <v>1.7949292659759499</v>
      </c>
      <c r="AA17">
        <v>-0.29400062561035101</v>
      </c>
      <c r="AB17">
        <v>0.154449447989463</v>
      </c>
      <c r="AC17">
        <v>0.78597551584243697</v>
      </c>
      <c r="AD17">
        <v>2.9186928272247301</v>
      </c>
      <c r="AE17">
        <v>-2.9809918403625399</v>
      </c>
      <c r="AF17">
        <v>-2.8505907058715798</v>
      </c>
      <c r="AG17" s="5">
        <f t="shared" si="0"/>
        <v>-822.82065887880458</v>
      </c>
      <c r="AI17" s="20"/>
      <c r="AJ17" s="21"/>
    </row>
    <row r="18" spans="1:36" x14ac:dyDescent="0.35">
      <c r="A18" t="s">
        <v>125</v>
      </c>
      <c r="B18" s="1">
        <v>0.52146756649017301</v>
      </c>
      <c r="C18" s="1">
        <v>-0.59124678373336703</v>
      </c>
      <c r="D18" s="1">
        <v>1</v>
      </c>
      <c r="E18" s="1">
        <v>0.27375456690788202</v>
      </c>
      <c r="F18" s="1">
        <v>0.38021829724311801</v>
      </c>
      <c r="G18">
        <v>-0.153147622942924</v>
      </c>
      <c r="H18">
        <v>-0.212145715951919</v>
      </c>
      <c r="I18">
        <v>0.113753013312816</v>
      </c>
      <c r="J18">
        <v>2.5359010696411102</v>
      </c>
      <c r="K18">
        <v>-2.53656673431396</v>
      </c>
      <c r="L18" s="9">
        <v>-1.37327349185943</v>
      </c>
      <c r="M18" s="1">
        <v>-6.47202396392822</v>
      </c>
      <c r="N18" s="1">
        <v>1</v>
      </c>
      <c r="O18" s="1">
        <v>6.0794382095336896</v>
      </c>
      <c r="P18" s="1">
        <v>0.482365101575851</v>
      </c>
      <c r="Q18">
        <v>-0.69648921489715498</v>
      </c>
      <c r="R18">
        <v>-0.98998367786407404</v>
      </c>
      <c r="S18">
        <v>-1.1796802282333301</v>
      </c>
      <c r="T18">
        <v>1.6240588426589899</v>
      </c>
      <c r="U18">
        <v>-0.35473823547363198</v>
      </c>
      <c r="V18" s="9">
        <v>-1.3517582416534399</v>
      </c>
      <c r="W18" s="1">
        <v>0.79318314790725697</v>
      </c>
      <c r="X18" s="1">
        <v>1</v>
      </c>
      <c r="Y18" s="1">
        <v>0.45592212677001898</v>
      </c>
      <c r="Z18" s="1">
        <v>1.1113595962524401</v>
      </c>
      <c r="AA18">
        <v>-6.1485309600829998</v>
      </c>
      <c r="AB18">
        <v>1.3805763721466</v>
      </c>
      <c r="AC18">
        <v>5.9433903694152797</v>
      </c>
      <c r="AD18">
        <v>-4.3390097618103001</v>
      </c>
      <c r="AE18">
        <v>-4.4019088745117099</v>
      </c>
      <c r="AF18">
        <v>-4.7528557777404696</v>
      </c>
      <c r="AG18" s="5">
        <f t="shared" si="0"/>
        <v>-829.23354099130688</v>
      </c>
      <c r="AI18" s="20"/>
      <c r="AJ18" s="21"/>
    </row>
    <row r="19" spans="1:36" x14ac:dyDescent="0.35">
      <c r="A19" t="s">
        <v>126</v>
      </c>
      <c r="B19" s="1">
        <v>0.56329250335693304</v>
      </c>
      <c r="C19" s="1">
        <v>2.4728114604949898</v>
      </c>
      <c r="D19" s="1">
        <v>1</v>
      </c>
      <c r="E19" s="1">
        <v>1.28504526615142</v>
      </c>
      <c r="F19" s="1">
        <v>0.42438048124313299</v>
      </c>
      <c r="G19">
        <v>-1.35045766830444</v>
      </c>
      <c r="H19">
        <v>1.4212795495986901</v>
      </c>
      <c r="I19">
        <v>-1.35813724994659</v>
      </c>
      <c r="J19">
        <v>0.312772005796432</v>
      </c>
      <c r="K19">
        <v>-0.54292953014373702</v>
      </c>
      <c r="L19" s="9">
        <v>-4.3653536587953498E-2</v>
      </c>
      <c r="M19" s="1">
        <v>-4.3374876976013104</v>
      </c>
      <c r="N19" s="1">
        <v>1</v>
      </c>
      <c r="O19" s="1">
        <v>1.90461301803588</v>
      </c>
      <c r="P19" s="1">
        <v>2.47029328346252</v>
      </c>
      <c r="Q19">
        <v>-19.612831115722599</v>
      </c>
      <c r="R19">
        <v>-6.68261671066284</v>
      </c>
      <c r="S19">
        <v>3.47634601593017</v>
      </c>
      <c r="T19">
        <v>-3.4114403724670401</v>
      </c>
      <c r="U19">
        <v>-5.51417636871337</v>
      </c>
      <c r="V19" s="9">
        <v>-6.9296441078186</v>
      </c>
      <c r="W19" s="1">
        <v>0.139685109257698</v>
      </c>
      <c r="X19" s="1">
        <v>1</v>
      </c>
      <c r="Y19" s="1">
        <v>5.2065916359424501E-2</v>
      </c>
      <c r="Z19" s="1">
        <v>6.3153348863124806E-2</v>
      </c>
      <c r="AA19">
        <v>-0.49774572253227201</v>
      </c>
      <c r="AB19">
        <v>0.65389198064803999</v>
      </c>
      <c r="AC19">
        <v>-0.49049836397170998</v>
      </c>
      <c r="AD19">
        <v>8.0752804875373799E-2</v>
      </c>
      <c r="AE19">
        <v>0.15375959873199399</v>
      </c>
      <c r="AF19">
        <v>0.13039974868297499</v>
      </c>
      <c r="AG19" s="5">
        <f t="shared" si="0"/>
        <v>-756.75644629287808</v>
      </c>
      <c r="AI19" s="20"/>
      <c r="AJ19" s="21"/>
    </row>
    <row r="20" spans="1:36" x14ac:dyDescent="0.35">
      <c r="A20" t="s">
        <v>127</v>
      </c>
      <c r="B20" s="1">
        <v>0.52724498510360696</v>
      </c>
      <c r="C20" s="1">
        <v>-0.78551954030990601</v>
      </c>
      <c r="D20" s="1">
        <v>1</v>
      </c>
      <c r="E20" s="1">
        <v>0.20548783242702401</v>
      </c>
      <c r="F20" s="1">
        <v>0.52909940481185902</v>
      </c>
      <c r="G20">
        <v>-0.74242633581161499</v>
      </c>
      <c r="H20">
        <v>-0.72818619012832597</v>
      </c>
      <c r="I20">
        <v>0.64345645904541005</v>
      </c>
      <c r="J20">
        <v>0.18867678940296101</v>
      </c>
      <c r="K20">
        <v>-1.40090024471282</v>
      </c>
      <c r="L20" s="9">
        <v>-1.4275275468826201</v>
      </c>
      <c r="M20" s="1">
        <v>-1.4840229749679501</v>
      </c>
      <c r="N20" s="1">
        <v>1</v>
      </c>
      <c r="O20" s="1">
        <v>3.9936666488647399</v>
      </c>
      <c r="P20" s="1">
        <v>6.3996105194091797</v>
      </c>
      <c r="Q20">
        <v>-1.9350013732910101</v>
      </c>
      <c r="R20">
        <v>2.9258561134338299</v>
      </c>
      <c r="S20">
        <v>1.97542428970336</v>
      </c>
      <c r="T20">
        <v>0.935036480426788</v>
      </c>
      <c r="U20">
        <v>-2.6135663986206001</v>
      </c>
      <c r="V20" s="9">
        <v>-5.1164178848266602</v>
      </c>
      <c r="W20" s="1">
        <v>-8.3512935638427699</v>
      </c>
      <c r="X20" s="1">
        <v>1</v>
      </c>
      <c r="Y20" s="1">
        <v>1.17626845836639</v>
      </c>
      <c r="Z20" s="1">
        <v>0.87046474218368497</v>
      </c>
      <c r="AA20">
        <v>-9.2215557098388601</v>
      </c>
      <c r="AB20">
        <v>1.8173964023589999</v>
      </c>
      <c r="AC20">
        <v>7.6644921302795401</v>
      </c>
      <c r="AD20">
        <v>1.53546035289764</v>
      </c>
      <c r="AE20">
        <v>0.451901525259017</v>
      </c>
      <c r="AF20">
        <v>-1.36389684677124</v>
      </c>
      <c r="AG20" s="5">
        <f t="shared" si="0"/>
        <v>-819.2220371534828</v>
      </c>
      <c r="AI20" s="20"/>
      <c r="AJ20" s="21"/>
    </row>
    <row r="21" spans="1:36" x14ac:dyDescent="0.35">
      <c r="A21" t="s">
        <v>128</v>
      </c>
      <c r="B21" s="1">
        <v>0.54038292169570901</v>
      </c>
      <c r="C21" s="1">
        <v>4.5604933053254998E-2</v>
      </c>
      <c r="D21" s="1">
        <v>1</v>
      </c>
      <c r="E21" s="1">
        <v>0.51440477371215798</v>
      </c>
      <c r="F21" s="1">
        <v>0.12583266198635101</v>
      </c>
      <c r="G21">
        <v>-1.6865104436874301</v>
      </c>
      <c r="H21">
        <v>1.00438392162323</v>
      </c>
      <c r="I21">
        <v>-0.19384954869747101</v>
      </c>
      <c r="J21">
        <v>1.63891530036926</v>
      </c>
      <c r="K21">
        <v>-0.46411252021789501</v>
      </c>
      <c r="L21" s="9">
        <v>-1.6731431484222401</v>
      </c>
      <c r="M21" s="1">
        <v>-5.3860549926757804</v>
      </c>
      <c r="N21" s="1">
        <v>1</v>
      </c>
      <c r="O21" s="1">
        <v>9.9051218032836896</v>
      </c>
      <c r="P21" s="1">
        <v>4.3243412971496502</v>
      </c>
      <c r="Q21">
        <v>1.07394587993621</v>
      </c>
      <c r="R21">
        <v>-2.2972226142883301</v>
      </c>
      <c r="S21">
        <v>2.2342369556427002</v>
      </c>
      <c r="T21">
        <v>-1.76737248897552</v>
      </c>
      <c r="U21">
        <v>-2.9039638042449898</v>
      </c>
      <c r="V21" s="9">
        <v>-3.1177954673767001</v>
      </c>
      <c r="W21" s="1">
        <v>-5.2589459419250399</v>
      </c>
      <c r="X21" s="1">
        <v>1</v>
      </c>
      <c r="Y21" s="1">
        <v>0.64682680368423395</v>
      </c>
      <c r="Z21" s="1">
        <v>0.72802573442459095</v>
      </c>
      <c r="AA21">
        <v>-4.6220765113830504</v>
      </c>
      <c r="AB21">
        <v>1.0555732250213601</v>
      </c>
      <c r="AC21">
        <v>3.7544758319854701</v>
      </c>
      <c r="AD21">
        <v>-0.44657638669013899</v>
      </c>
      <c r="AE21">
        <v>-0.32449862360954201</v>
      </c>
      <c r="AF21">
        <v>0.27315664291381803</v>
      </c>
      <c r="AG21" s="5">
        <f t="shared" si="0"/>
        <v>-796.45572724700014</v>
      </c>
      <c r="AI21" s="20"/>
      <c r="AJ21" s="21"/>
    </row>
    <row r="22" spans="1:36" x14ac:dyDescent="0.35">
      <c r="A22" t="s">
        <v>69</v>
      </c>
      <c r="B22" s="1">
        <v>0.53206717967987005</v>
      </c>
      <c r="C22" s="1">
        <v>0.39532852172851501</v>
      </c>
      <c r="D22" s="1">
        <v>1</v>
      </c>
      <c r="E22" s="1">
        <v>0.74086767435073797</v>
      </c>
      <c r="F22" s="1">
        <v>0.96218901872634799</v>
      </c>
      <c r="G22">
        <v>-6.25427198410034</v>
      </c>
      <c r="H22">
        <v>0.27555739879608099</v>
      </c>
      <c r="I22">
        <v>4.0730171203613201</v>
      </c>
      <c r="J22">
        <v>-5.2022385597229004</v>
      </c>
      <c r="K22">
        <v>-6.1839680671691797</v>
      </c>
      <c r="L22" s="9">
        <v>-6.1667857170104901</v>
      </c>
      <c r="M22" s="1">
        <v>-2.79571509361267</v>
      </c>
      <c r="N22" s="1">
        <v>1</v>
      </c>
      <c r="O22" s="1">
        <v>0.81873041391372603</v>
      </c>
      <c r="P22" s="1">
        <v>2.0028924942016602</v>
      </c>
      <c r="Q22">
        <v>-0.26504406332969599</v>
      </c>
      <c r="R22">
        <v>0.24909803271293601</v>
      </c>
      <c r="S22">
        <v>0.63786274194717396</v>
      </c>
      <c r="T22">
        <v>0.84532350301742498</v>
      </c>
      <c r="U22">
        <v>0.99761819839477495</v>
      </c>
      <c r="V22" s="9">
        <v>-1.2682139873504601</v>
      </c>
      <c r="W22" s="1">
        <v>-0.58327275514602595</v>
      </c>
      <c r="X22" s="1">
        <v>1</v>
      </c>
      <c r="Y22" s="1">
        <v>1.3714973926544101</v>
      </c>
      <c r="Z22" s="1">
        <v>0.23646767437457999</v>
      </c>
      <c r="AA22">
        <v>0.91357207298278797</v>
      </c>
      <c r="AB22">
        <v>0.74245053529739302</v>
      </c>
      <c r="AC22">
        <v>-0.39584153890609702</v>
      </c>
      <c r="AD22">
        <v>-1.1590002775192201</v>
      </c>
      <c r="AE22">
        <v>-1.5549958944320601</v>
      </c>
      <c r="AF22">
        <v>-0.495656788349151</v>
      </c>
      <c r="AG22" s="5">
        <f t="shared" si="0"/>
        <v>-810.86581048250287</v>
      </c>
      <c r="AI22" s="20"/>
      <c r="AJ22" s="21"/>
    </row>
    <row r="23" spans="1:36" x14ac:dyDescent="0.35">
      <c r="A23" t="s">
        <v>129</v>
      </c>
      <c r="B23" s="1">
        <v>0.53527051210403398</v>
      </c>
      <c r="C23" s="1">
        <v>-1.35413682460784</v>
      </c>
      <c r="D23" s="1">
        <v>1</v>
      </c>
      <c r="E23" s="1">
        <v>0.34292495250701899</v>
      </c>
      <c r="F23" s="1">
        <v>0.139653891324996</v>
      </c>
      <c r="G23">
        <v>7.5801450293511098E-4</v>
      </c>
      <c r="H23">
        <v>-0.14226421713828999</v>
      </c>
      <c r="I23">
        <v>0.21827791631221699</v>
      </c>
      <c r="J23">
        <v>0.169005781412124</v>
      </c>
      <c r="K23">
        <v>-1.2879542112350399</v>
      </c>
      <c r="L23" s="9">
        <v>-0.19277314841747201</v>
      </c>
      <c r="M23" s="1">
        <v>0.32033899426460199</v>
      </c>
      <c r="N23" s="1">
        <v>1</v>
      </c>
      <c r="O23" s="1">
        <v>7.1819205284118599</v>
      </c>
      <c r="P23" s="1">
        <v>3.6072537899017298</v>
      </c>
      <c r="Q23">
        <v>-9.8898763656616193</v>
      </c>
      <c r="R23">
        <v>4.1201858520507804</v>
      </c>
      <c r="S23">
        <v>10.046448707580501</v>
      </c>
      <c r="T23">
        <v>-4.3469266891479403</v>
      </c>
      <c r="U23">
        <v>4.1017889976501403</v>
      </c>
      <c r="V23" s="9">
        <v>-3.6517524719238201</v>
      </c>
      <c r="W23" s="1">
        <v>-3.2310495376586901</v>
      </c>
      <c r="X23" s="1">
        <v>1</v>
      </c>
      <c r="Y23" s="1">
        <v>0.621604204177856</v>
      </c>
      <c r="Z23" s="1">
        <v>1.45282530784606</v>
      </c>
      <c r="AA23">
        <v>-4.0990052223205504</v>
      </c>
      <c r="AB23">
        <v>2.4647564888000399</v>
      </c>
      <c r="AC23">
        <v>3.7886064052581698</v>
      </c>
      <c r="AD23">
        <v>-3.0451073646545401</v>
      </c>
      <c r="AE23">
        <v>-4.1406693458557102</v>
      </c>
      <c r="AF23">
        <v>-4.8394532203674299</v>
      </c>
      <c r="AG23" s="5">
        <f t="shared" si="0"/>
        <v>-805.31485823130686</v>
      </c>
      <c r="AI23" s="20"/>
      <c r="AJ23" s="21"/>
    </row>
    <row r="24" spans="1:36" x14ac:dyDescent="0.35">
      <c r="A24" t="s">
        <v>130</v>
      </c>
      <c r="B24" s="1">
        <v>0.53878057003021196</v>
      </c>
      <c r="C24" s="1">
        <v>0.13005755841732</v>
      </c>
      <c r="D24" s="1">
        <v>1</v>
      </c>
      <c r="E24" s="1">
        <v>0.16846998035907701</v>
      </c>
      <c r="F24" s="1">
        <v>0.205343678593635</v>
      </c>
      <c r="G24">
        <v>-4.90035712718963E-2</v>
      </c>
      <c r="H24">
        <v>-7.2743482887744904E-2</v>
      </c>
      <c r="I24">
        <v>-2.0474569872021599E-2</v>
      </c>
      <c r="J24">
        <v>0.160847038030624</v>
      </c>
      <c r="K24">
        <v>-0.243869498372077</v>
      </c>
      <c r="L24" s="9">
        <v>0.25553354620933499</v>
      </c>
      <c r="M24" s="1">
        <v>-10.6529092788696</v>
      </c>
      <c r="N24" s="1">
        <v>1</v>
      </c>
      <c r="O24" s="1">
        <v>4.8351850509643501</v>
      </c>
      <c r="P24" s="1">
        <v>4.5312652587890598</v>
      </c>
      <c r="Q24">
        <v>1.0548727512359599</v>
      </c>
      <c r="R24">
        <v>-1.5622258186340301</v>
      </c>
      <c r="S24">
        <v>-0.80322116613387995</v>
      </c>
      <c r="T24">
        <v>3.6259121894836399</v>
      </c>
      <c r="U24">
        <v>-1.29421257972717</v>
      </c>
      <c r="V24" s="9">
        <v>1.5976378917694001</v>
      </c>
      <c r="W24" s="1">
        <v>-8.1951084136962802</v>
      </c>
      <c r="X24" s="1">
        <v>1</v>
      </c>
      <c r="Y24" s="1">
        <v>0.85194987058639504</v>
      </c>
      <c r="Z24" s="1">
        <v>0.59396666288375799</v>
      </c>
      <c r="AA24">
        <v>-7.3225383758544904</v>
      </c>
      <c r="AB24">
        <v>2.2698082923889098</v>
      </c>
      <c r="AC24">
        <v>7.3669896125793404</v>
      </c>
      <c r="AD24">
        <v>-8.92365127801895E-2</v>
      </c>
      <c r="AE24">
        <v>-0.14284956455230699</v>
      </c>
      <c r="AF24">
        <v>-0.13590233027935</v>
      </c>
      <c r="AG24" s="5">
        <f t="shared" si="0"/>
        <v>-799.23239117288665</v>
      </c>
      <c r="AI24" s="20"/>
      <c r="AJ24" s="21"/>
    </row>
    <row r="25" spans="1:36" x14ac:dyDescent="0.35">
      <c r="A25" t="s">
        <v>131</v>
      </c>
      <c r="B25" s="1">
        <v>0.52676928043365401</v>
      </c>
      <c r="C25" s="1">
        <v>-1.09687483310699</v>
      </c>
      <c r="D25" s="1">
        <v>1</v>
      </c>
      <c r="E25" s="1">
        <v>0.64826953411102295</v>
      </c>
      <c r="F25" s="1">
        <v>0.17540687322616499</v>
      </c>
      <c r="G25">
        <v>-7.0657148957252502E-2</v>
      </c>
      <c r="H25">
        <v>0.23133328557014399</v>
      </c>
      <c r="I25">
        <v>0.124261617660522</v>
      </c>
      <c r="J25">
        <v>-0.98875617980956998</v>
      </c>
      <c r="K25">
        <v>-0.96553027629852295</v>
      </c>
      <c r="L25" s="9">
        <v>0.99029636383056596</v>
      </c>
      <c r="M25" s="1">
        <v>-0.29441174864768899</v>
      </c>
      <c r="N25" s="1">
        <v>1</v>
      </c>
      <c r="O25" s="1">
        <v>0.83030939102172796</v>
      </c>
      <c r="P25" s="1">
        <v>2.74238753318786</v>
      </c>
      <c r="Q25">
        <v>-4.9188494682312003</v>
      </c>
      <c r="R25">
        <v>1.2506976127624501</v>
      </c>
      <c r="S25">
        <v>4.76845026016235</v>
      </c>
      <c r="T25">
        <v>-1.1886293888092001</v>
      </c>
      <c r="U25">
        <v>0.45071217417716902</v>
      </c>
      <c r="V25" s="9">
        <v>0.92029064893722501</v>
      </c>
      <c r="W25" s="1">
        <v>-1.0648597478866499</v>
      </c>
      <c r="X25" s="1">
        <v>1</v>
      </c>
      <c r="Y25" s="1">
        <v>0.84533393383026101</v>
      </c>
      <c r="Z25" s="1">
        <v>0.520543932914733</v>
      </c>
      <c r="AA25">
        <v>-3.5249094963073699</v>
      </c>
      <c r="AB25">
        <v>2.7988817691802899</v>
      </c>
      <c r="AC25">
        <v>3.5501861572265598</v>
      </c>
      <c r="AD25">
        <v>-6.3369216918945304</v>
      </c>
      <c r="AE25">
        <v>-8.0110111236572195</v>
      </c>
      <c r="AF25">
        <v>-8.5651597976684499</v>
      </c>
      <c r="AG25" s="5">
        <f t="shared" si="0"/>
        <v>-820.04637055349485</v>
      </c>
      <c r="AI25" s="20"/>
      <c r="AJ25" s="21"/>
    </row>
    <row r="26" spans="1:36" x14ac:dyDescent="0.35">
      <c r="A26" t="s">
        <v>132</v>
      </c>
      <c r="B26" s="1">
        <v>0.52544420957565297</v>
      </c>
      <c r="C26" s="1">
        <v>-1.8778545856475799</v>
      </c>
      <c r="D26" s="1">
        <v>1</v>
      </c>
      <c r="E26" s="1">
        <v>0.50949269533157304</v>
      </c>
      <c r="F26" s="1">
        <v>0.81105214357376099</v>
      </c>
      <c r="G26">
        <v>-4.4854717254638601</v>
      </c>
      <c r="H26">
        <v>1.4589980840682899</v>
      </c>
      <c r="I26">
        <v>4.5847420692443803</v>
      </c>
      <c r="J26">
        <v>-1.19942891597747</v>
      </c>
      <c r="K26">
        <v>-2.09317898750305</v>
      </c>
      <c r="L26" s="9">
        <v>-3.0029134750366202</v>
      </c>
      <c r="M26" s="1">
        <v>-3.8116765022277801</v>
      </c>
      <c r="N26" s="1">
        <v>1</v>
      </c>
      <c r="O26" s="1">
        <v>1.40966856479644</v>
      </c>
      <c r="P26" s="1">
        <v>1.97197294235229</v>
      </c>
      <c r="Q26">
        <v>1.9566744565963701</v>
      </c>
      <c r="R26">
        <v>2.8355197906494101</v>
      </c>
      <c r="S26">
        <v>1.5294053554534901</v>
      </c>
      <c r="T26">
        <v>0.92711108922958296</v>
      </c>
      <c r="U26">
        <v>-9.7081258893013E-2</v>
      </c>
      <c r="V26" s="9">
        <v>-1.5068027973175</v>
      </c>
      <c r="W26" s="1">
        <v>-1.5599656105041499</v>
      </c>
      <c r="X26" s="1">
        <v>1</v>
      </c>
      <c r="Y26" s="1">
        <v>0.51965850591659501</v>
      </c>
      <c r="Z26" s="1">
        <v>0.68809521198272705</v>
      </c>
      <c r="AA26">
        <v>-1.9059531688690099</v>
      </c>
      <c r="AB26">
        <v>1.79735314846038</v>
      </c>
      <c r="AC26">
        <v>0.97055071592330899</v>
      </c>
      <c r="AD26">
        <v>0.54868346452713002</v>
      </c>
      <c r="AE26">
        <v>0.75606036186218195</v>
      </c>
      <c r="AF26">
        <v>-0.65065872669219904</v>
      </c>
      <c r="AG26" s="5">
        <f t="shared" si="0"/>
        <v>-822.34254344105739</v>
      </c>
      <c r="AI26" s="20"/>
      <c r="AJ26" s="21"/>
    </row>
    <row r="27" spans="1:36" x14ac:dyDescent="0.35">
      <c r="A27" t="s">
        <v>133</v>
      </c>
      <c r="B27" s="1">
        <v>0.55621880292892401</v>
      </c>
      <c r="C27" s="1">
        <v>-5.9143710136413503</v>
      </c>
      <c r="D27" s="1">
        <v>1</v>
      </c>
      <c r="E27" s="1">
        <v>0.85266071557998602</v>
      </c>
      <c r="F27" s="1">
        <v>0.36246451735496499</v>
      </c>
      <c r="G27">
        <v>-5.7303314208984304</v>
      </c>
      <c r="H27">
        <v>0.61268818378448398</v>
      </c>
      <c r="I27">
        <v>4.8886737823486301</v>
      </c>
      <c r="J27">
        <v>-0.21445243060588801</v>
      </c>
      <c r="K27">
        <v>-0.239912644028663</v>
      </c>
      <c r="L27" s="9">
        <v>-0.26757600903510997</v>
      </c>
      <c r="M27" s="1">
        <v>-14.4622135162353</v>
      </c>
      <c r="N27" s="1">
        <v>1</v>
      </c>
      <c r="O27" s="1">
        <v>2.5863616466522199</v>
      </c>
      <c r="P27" s="1">
        <v>3.1294796466827299</v>
      </c>
      <c r="Q27">
        <v>0.68531644344329801</v>
      </c>
      <c r="R27">
        <v>-3.18072414398193</v>
      </c>
      <c r="S27">
        <v>-1.96234202384948</v>
      </c>
      <c r="T27">
        <v>-2.3494124412536599</v>
      </c>
      <c r="U27">
        <v>-3.2733619213104199</v>
      </c>
      <c r="V27" s="9">
        <v>-3.1577732563018799</v>
      </c>
      <c r="W27" s="1">
        <v>-1.5141034126281701</v>
      </c>
      <c r="X27" s="1">
        <v>1</v>
      </c>
      <c r="Y27" s="1">
        <v>2.5105907917022701</v>
      </c>
      <c r="Z27" s="1">
        <v>4.4881086349487296</v>
      </c>
      <c r="AA27">
        <v>-4.0501646995544398</v>
      </c>
      <c r="AB27">
        <v>5.2327117919921804</v>
      </c>
      <c r="AC27">
        <v>-5.1618413925170898</v>
      </c>
      <c r="AD27">
        <v>4.4063653945922798</v>
      </c>
      <c r="AE27">
        <v>-0.26648545265197698</v>
      </c>
      <c r="AF27">
        <v>-4.4271936416625897</v>
      </c>
      <c r="AG27" s="5">
        <f t="shared" si="0"/>
        <v>-769.01423540616133</v>
      </c>
      <c r="AI27" s="20"/>
      <c r="AJ27" s="21"/>
    </row>
    <row r="28" spans="1:36" x14ac:dyDescent="0.35">
      <c r="A28" t="s">
        <v>86</v>
      </c>
      <c r="B28" s="1">
        <v>0.54344332218170099</v>
      </c>
      <c r="C28" s="1">
        <v>-3.78429698944091</v>
      </c>
      <c r="D28" s="1">
        <v>1</v>
      </c>
      <c r="E28" s="1">
        <v>1.7436012029647801</v>
      </c>
      <c r="F28" s="1">
        <v>1.47425484657287</v>
      </c>
      <c r="G28">
        <v>-6.5418334007263104</v>
      </c>
      <c r="H28">
        <v>1.88317310810089</v>
      </c>
      <c r="I28">
        <v>6.4756879806518501</v>
      </c>
      <c r="J28">
        <v>-8.2979984283447195</v>
      </c>
      <c r="K28">
        <v>-11.1629638671875</v>
      </c>
      <c r="L28" s="9">
        <v>-12.4698114395141</v>
      </c>
      <c r="M28" s="1">
        <v>-0.99391496181488004</v>
      </c>
      <c r="N28" s="1">
        <v>1</v>
      </c>
      <c r="O28" s="1">
        <v>1.6035912036895701</v>
      </c>
      <c r="P28" s="1">
        <v>2.20605444908142</v>
      </c>
      <c r="Q28">
        <v>1.00807774066925</v>
      </c>
      <c r="R28">
        <v>1.2206180095672601</v>
      </c>
      <c r="S28">
        <v>1.04305243492126</v>
      </c>
      <c r="T28">
        <v>0.12223765254020599</v>
      </c>
      <c r="U28">
        <v>0.166580125689506</v>
      </c>
      <c r="V28" s="9">
        <v>-0.23982812464237199</v>
      </c>
      <c r="W28" s="1">
        <v>-0.26767399907112099</v>
      </c>
      <c r="X28" s="1">
        <v>1</v>
      </c>
      <c r="Y28" s="1">
        <v>7.12778866291046E-2</v>
      </c>
      <c r="Z28" s="1">
        <v>0.30587381124496399</v>
      </c>
      <c r="AA28">
        <v>-3.1324324607849099</v>
      </c>
      <c r="AB28">
        <v>0.969368696212768</v>
      </c>
      <c r="AC28">
        <v>3.1398220062255802</v>
      </c>
      <c r="AD28">
        <v>-0.32618495821952798</v>
      </c>
      <c r="AE28">
        <v>0.17894864082336401</v>
      </c>
      <c r="AF28">
        <v>-0.26058876514434798</v>
      </c>
      <c r="AG28" s="5">
        <f t="shared" si="0"/>
        <v>-791.15245717764014</v>
      </c>
      <c r="AI28" s="20"/>
      <c r="AJ28" s="21"/>
    </row>
    <row r="29" spans="1:36" x14ac:dyDescent="0.35">
      <c r="A29" t="s">
        <v>134</v>
      </c>
      <c r="B29" s="1">
        <v>0.54909366369247403</v>
      </c>
      <c r="C29" s="1">
        <v>-0.88685876131057695</v>
      </c>
      <c r="D29" s="1">
        <v>1</v>
      </c>
      <c r="E29" s="1">
        <v>0.69793820381164495</v>
      </c>
      <c r="F29" s="1">
        <v>0.75179934501647905</v>
      </c>
      <c r="G29">
        <v>-0.703457832336425</v>
      </c>
      <c r="H29">
        <v>-0.48941397666931102</v>
      </c>
      <c r="I29">
        <v>1.03542852401733</v>
      </c>
      <c r="J29">
        <v>0.430347889661788</v>
      </c>
      <c r="K29">
        <v>-0.433471620082855</v>
      </c>
      <c r="L29" s="9">
        <v>-8.3993710577487904E-2</v>
      </c>
      <c r="M29" s="1">
        <v>0.152201518416404</v>
      </c>
      <c r="N29" s="1">
        <v>1</v>
      </c>
      <c r="O29" s="1">
        <v>3.6197769641876198</v>
      </c>
      <c r="P29" s="1">
        <v>11.5678615570068</v>
      </c>
      <c r="Q29">
        <v>0.52574729919433505</v>
      </c>
      <c r="R29">
        <v>-9.07570075988769</v>
      </c>
      <c r="S29">
        <v>5.1926589012145996</v>
      </c>
      <c r="T29">
        <v>6.6589546203613201</v>
      </c>
      <c r="U29">
        <v>9.6611566543579102</v>
      </c>
      <c r="V29" s="9">
        <v>8.8033208847045898</v>
      </c>
      <c r="W29" s="1">
        <v>-7.0922312736511204</v>
      </c>
      <c r="X29" s="1">
        <v>1</v>
      </c>
      <c r="Y29" s="1">
        <v>0.91749888658523504</v>
      </c>
      <c r="Z29" s="1">
        <v>0.54282242059707597</v>
      </c>
      <c r="AA29">
        <v>-4.2088046073913503</v>
      </c>
      <c r="AB29">
        <v>3.3241815567016602</v>
      </c>
      <c r="AC29">
        <v>4.0387301445007298</v>
      </c>
      <c r="AD29">
        <v>-1.01366651058197</v>
      </c>
      <c r="AE29">
        <v>-2.1412875652313201</v>
      </c>
      <c r="AF29">
        <v>-2.83470582962036</v>
      </c>
      <c r="AG29" s="5">
        <f t="shared" si="0"/>
        <v>-781.36116118454993</v>
      </c>
      <c r="AI29" s="20"/>
      <c r="AJ29" s="21"/>
    </row>
    <row r="30" spans="1:36" x14ac:dyDescent="0.35">
      <c r="A30" t="s">
        <v>135</v>
      </c>
      <c r="B30" s="1">
        <v>0.52574545145034701</v>
      </c>
      <c r="C30" s="1">
        <v>-3.56521368026733</v>
      </c>
      <c r="D30" s="1">
        <v>1</v>
      </c>
      <c r="E30" s="1">
        <v>0.726748347282409</v>
      </c>
      <c r="F30" s="1">
        <v>0.32985380291938698</v>
      </c>
      <c r="G30">
        <v>-6.5900683403015101</v>
      </c>
      <c r="H30">
        <v>-3.2809294760227203E-2</v>
      </c>
      <c r="I30">
        <v>5.5593461990356401</v>
      </c>
      <c r="J30">
        <v>-2.59685833007097E-2</v>
      </c>
      <c r="K30">
        <v>-0.28948765993118197</v>
      </c>
      <c r="L30" s="9">
        <v>-1.06526207923889</v>
      </c>
      <c r="M30" s="1">
        <v>-0.78073048591613703</v>
      </c>
      <c r="N30" s="1">
        <v>1</v>
      </c>
      <c r="O30" s="1">
        <v>6.0417182743549298E-2</v>
      </c>
      <c r="P30" s="1">
        <v>0.53034478425979603</v>
      </c>
      <c r="Q30">
        <v>-2.1277558803558301</v>
      </c>
      <c r="R30">
        <v>2.1946063041686998</v>
      </c>
      <c r="S30">
        <v>1.7511448860168399</v>
      </c>
      <c r="T30">
        <v>-0.123099252581596</v>
      </c>
      <c r="U30">
        <v>9.7219571471214294E-2</v>
      </c>
      <c r="V30" s="9">
        <v>-0.15105767548084201</v>
      </c>
      <c r="W30" s="1">
        <v>1.6608736515045099</v>
      </c>
      <c r="X30" s="1">
        <v>1</v>
      </c>
      <c r="Y30" s="1">
        <v>1.20893383026123</v>
      </c>
      <c r="Z30" s="1">
        <v>5.1899533271789497</v>
      </c>
      <c r="AA30">
        <v>1.3310638666152901</v>
      </c>
      <c r="AB30">
        <v>2.4597542285919101</v>
      </c>
      <c r="AC30">
        <v>3.0282080173492401</v>
      </c>
      <c r="AD30">
        <v>4.2194728851318297</v>
      </c>
      <c r="AE30">
        <v>-1.81266021728515</v>
      </c>
      <c r="AF30">
        <v>-3.7522935867309499</v>
      </c>
      <c r="AG30" s="5">
        <f t="shared" si="0"/>
        <v>-821.8205310361401</v>
      </c>
      <c r="AI30" s="20"/>
      <c r="AJ30" s="21"/>
    </row>
    <row r="31" spans="1:36" x14ac:dyDescent="0.35">
      <c r="A31" t="s">
        <v>136</v>
      </c>
      <c r="B31" s="1">
        <v>0.52473020553588801</v>
      </c>
      <c r="C31" s="1">
        <v>4.1753845214843697</v>
      </c>
      <c r="D31" s="1">
        <v>1</v>
      </c>
      <c r="E31" s="1">
        <v>1.7008361816406199</v>
      </c>
      <c r="F31" s="1">
        <v>4.3778796195983798</v>
      </c>
      <c r="G31">
        <v>-10.9204950332641</v>
      </c>
      <c r="H31">
        <v>10.5917139053344</v>
      </c>
      <c r="I31">
        <v>11.756786346435501</v>
      </c>
      <c r="J31">
        <v>1.35740971565246</v>
      </c>
      <c r="K31">
        <v>-3.50375175476074</v>
      </c>
      <c r="L31" s="9">
        <v>-3.6605708599090501</v>
      </c>
      <c r="M31" s="1">
        <v>4.4990591704845401E-2</v>
      </c>
      <c r="N31" s="1">
        <v>1</v>
      </c>
      <c r="O31" s="1">
        <v>0.86622774600982599</v>
      </c>
      <c r="P31" s="1">
        <v>0.20551010966300901</v>
      </c>
      <c r="Q31">
        <v>-1.04816710948944</v>
      </c>
      <c r="R31">
        <v>-1.3229466676712001</v>
      </c>
      <c r="S31">
        <v>0.56948590278625399</v>
      </c>
      <c r="T31">
        <v>-0.62991034984588601</v>
      </c>
      <c r="U31">
        <v>1.24249184131622</v>
      </c>
      <c r="V31" s="9">
        <v>-7.4805043637752505E-2</v>
      </c>
      <c r="W31" s="1">
        <v>-2.93679642677307</v>
      </c>
      <c r="X31" s="1">
        <v>1</v>
      </c>
      <c r="Y31" s="1">
        <v>0.60838901996612504</v>
      </c>
      <c r="Z31" s="1">
        <v>0.45311099290847701</v>
      </c>
      <c r="AA31">
        <v>-4.0064778327941797</v>
      </c>
      <c r="AB31">
        <v>0.89293187856674106</v>
      </c>
      <c r="AC31">
        <v>4.03002882003784</v>
      </c>
      <c r="AD31">
        <v>-1.50758564472198</v>
      </c>
      <c r="AE31">
        <v>-2.1052491664886399</v>
      </c>
      <c r="AF31">
        <v>-2.1461477279663002</v>
      </c>
      <c r="AG31" s="5">
        <f t="shared" si="0"/>
        <v>-823.57981819343684</v>
      </c>
      <c r="AI31" s="20"/>
      <c r="AJ31" s="21"/>
    </row>
    <row r="32" spans="1:36" x14ac:dyDescent="0.35">
      <c r="B32" s="2">
        <f t="shared" ref="B32" si="1">AVERAGE(B2:B31)</f>
        <v>0.53800587455431603</v>
      </c>
      <c r="C32" s="2">
        <f t="shared" ref="C32" si="2">AVERAGE(C2:C31)</f>
        <v>-1.1835323948413106</v>
      </c>
      <c r="D32" s="2">
        <f t="shared" ref="D32" si="3">AVERAGE(D2:D31)</f>
        <v>1</v>
      </c>
      <c r="E32" s="2">
        <f t="shared" ref="E32" si="4">AVERAGE(E2:E31)</f>
        <v>0.82503818372885218</v>
      </c>
      <c r="F32" s="2">
        <f t="shared" ref="F32" si="5">AVERAGE(F2:F31)</f>
        <v>0.72134807805220169</v>
      </c>
      <c r="G32" s="6">
        <f t="shared" ref="G32" si="6">AVERAGE(G2:G31)</f>
        <v>-3.432511935883662</v>
      </c>
      <c r="H32" s="6">
        <f t="shared" ref="H32" si="7">AVERAGE(H2:H31)</f>
        <v>0.90186105221509549</v>
      </c>
      <c r="I32" s="6">
        <f t="shared" ref="I32" si="8">AVERAGE(I2:I31)</f>
        <v>2.9655510753936403</v>
      </c>
      <c r="J32" s="6">
        <f t="shared" ref="J32" si="9">AVERAGE(J2:J31)</f>
        <v>-0.82687923467407631</v>
      </c>
      <c r="K32" s="6">
        <f t="shared" ref="K32" si="10">AVERAGE(K2:K31)</f>
        <v>-2.0433443985879403</v>
      </c>
      <c r="L32" s="10">
        <f t="shared" ref="L32" si="11">AVERAGE(L2:L31)</f>
        <v>-2.3568163110564107</v>
      </c>
      <c r="M32" s="2">
        <f t="shared" ref="M32" si="12">AVERAGE(M2:M31)</f>
        <v>-2.6222686241070381</v>
      </c>
      <c r="N32" s="2">
        <f t="shared" ref="N32" si="13">AVERAGE(N2:N31)</f>
        <v>1</v>
      </c>
      <c r="O32" s="2">
        <f t="shared" ref="O32" si="14">AVERAGE(O2:O31)</f>
        <v>2.3154963421324859</v>
      </c>
      <c r="P32" s="2">
        <f t="shared" ref="P32" si="15">AVERAGE(P2:P31)</f>
        <v>2.3260382207731372</v>
      </c>
      <c r="Q32" s="6">
        <f t="shared" ref="Q32" si="16">AVERAGE(Q2:Q31)</f>
        <v>-2.3097269422064186</v>
      </c>
      <c r="R32" s="6">
        <f t="shared" ref="R32" si="17">AVERAGE(R2:R31)</f>
        <v>0.41896007359027782</v>
      </c>
      <c r="S32" s="6">
        <f t="shared" ref="S32" si="18">AVERAGE(S2:S31)</f>
        <v>2.5575147057572969</v>
      </c>
      <c r="T32" s="6">
        <f t="shared" ref="T32" si="19">AVERAGE(T2:T31)</f>
        <v>-0.71494502271525451</v>
      </c>
      <c r="U32" s="6">
        <f t="shared" ref="U32" si="20">AVERAGE(U2:U31)</f>
        <v>-0.96802795752882775</v>
      </c>
      <c r="V32" s="10">
        <f t="shared" ref="V32" si="21">AVERAGE(V2:V31)</f>
        <v>-1.7609321350852627</v>
      </c>
      <c r="W32" s="2">
        <f t="shared" ref="W32" si="22">AVERAGE(W2:W31)</f>
        <v>-1.7468466936300182</v>
      </c>
      <c r="X32" s="2">
        <f t="shared" ref="X32" si="23">AVERAGE(X2:X31)</f>
        <v>1</v>
      </c>
      <c r="Y32" s="2">
        <f t="shared" ref="Y32" si="24">AVERAGE(Y2:Y31)</f>
        <v>1.0162494264543047</v>
      </c>
      <c r="Z32" s="2">
        <f t="shared" ref="Z32" si="25">AVERAGE(Z2:Z31)</f>
        <v>1.6448315297563854</v>
      </c>
      <c r="AA32" s="6">
        <f t="shared" ref="AA32" si="26">AVERAGE(AA2:AA31)</f>
        <v>-3.3120720526824314</v>
      </c>
      <c r="AB32" s="6">
        <f t="shared" ref="AB32" si="27">AVERAGE(AB2:AB31)</f>
        <v>1.3941145067413641</v>
      </c>
      <c r="AC32" s="6">
        <f t="shared" ref="AC32" si="28">AVERAGE(AC2:AC31)</f>
        <v>2.0206556444366761</v>
      </c>
      <c r="AD32" s="6">
        <f t="shared" ref="AD32" si="29">AVERAGE(AD2:AD31)</f>
        <v>5.2159611135720943E-2</v>
      </c>
      <c r="AE32" s="6">
        <f t="shared" ref="AE32" si="30">AVERAGE(AE2:AE31)</f>
        <v>-1.1330905955905686</v>
      </c>
      <c r="AF32" s="6">
        <f t="shared" ref="AF32:AG32" si="31">AVERAGE(AF2:AF31)</f>
        <v>-2.1404203544060363</v>
      </c>
      <c r="AG32" s="13">
        <f t="shared" si="31"/>
        <v>-800.57483617281184</v>
      </c>
      <c r="AI32" s="20"/>
      <c r="AJ32" s="21"/>
    </row>
    <row r="33" spans="1:36" x14ac:dyDescent="0.35">
      <c r="B33" s="17">
        <f>MAX(B2:B31)</f>
        <v>0.569993376731872</v>
      </c>
      <c r="AG33" s="19">
        <f>MAX(AG2:AG32)</f>
        <v>-745.14471724939438</v>
      </c>
      <c r="AI33" s="20"/>
      <c r="AJ33" s="20"/>
    </row>
    <row r="34" spans="1:36" x14ac:dyDescent="0.35">
      <c r="B34" t="s">
        <v>70</v>
      </c>
      <c r="C34" s="1" t="s">
        <v>71</v>
      </c>
      <c r="D34" s="1" t="s">
        <v>5</v>
      </c>
      <c r="E34" s="1" t="s">
        <v>6</v>
      </c>
      <c r="F34" s="1" t="s">
        <v>7</v>
      </c>
      <c r="G34" t="s">
        <v>72</v>
      </c>
      <c r="H34" t="s">
        <v>73</v>
      </c>
      <c r="I34" t="s">
        <v>74</v>
      </c>
      <c r="J34" t="s">
        <v>75</v>
      </c>
      <c r="K34" t="s">
        <v>76</v>
      </c>
      <c r="L34" t="s">
        <v>77</v>
      </c>
      <c r="M34" s="1" t="s">
        <v>71</v>
      </c>
      <c r="N34" s="1" t="s">
        <v>5</v>
      </c>
      <c r="O34" s="1" t="s">
        <v>6</v>
      </c>
      <c r="P34" s="1" t="s">
        <v>7</v>
      </c>
      <c r="Q34" t="s">
        <v>72</v>
      </c>
      <c r="R34" t="s">
        <v>73</v>
      </c>
      <c r="S34" t="s">
        <v>74</v>
      </c>
      <c r="T34" t="s">
        <v>75</v>
      </c>
      <c r="U34" t="s">
        <v>76</v>
      </c>
      <c r="V34" t="s">
        <v>77</v>
      </c>
      <c r="W34" s="1" t="s">
        <v>71</v>
      </c>
      <c r="X34" s="1" t="s">
        <v>5</v>
      </c>
      <c r="Y34" s="1" t="s">
        <v>6</v>
      </c>
      <c r="Z34" s="1" t="s">
        <v>7</v>
      </c>
      <c r="AA34" t="s">
        <v>72</v>
      </c>
      <c r="AB34" t="s">
        <v>73</v>
      </c>
      <c r="AC34" t="s">
        <v>74</v>
      </c>
      <c r="AD34" t="s">
        <v>75</v>
      </c>
      <c r="AE34" t="s">
        <v>76</v>
      </c>
      <c r="AF34" t="s">
        <v>77</v>
      </c>
    </row>
    <row r="35" spans="1:36" x14ac:dyDescent="0.35">
      <c r="B35" t="s">
        <v>81</v>
      </c>
      <c r="C35" s="1">
        <v>-5</v>
      </c>
      <c r="D35" s="1">
        <v>1</v>
      </c>
      <c r="E35" s="1">
        <v>1.2</v>
      </c>
      <c r="F35" s="1">
        <v>0.4</v>
      </c>
      <c r="G35">
        <v>-8</v>
      </c>
      <c r="H35">
        <v>-1.6</v>
      </c>
      <c r="I35">
        <v>1.6</v>
      </c>
      <c r="J35">
        <v>-0.8</v>
      </c>
      <c r="K35">
        <v>-1.6</v>
      </c>
      <c r="L35">
        <v>-3.2</v>
      </c>
      <c r="M35" s="1">
        <v>-6</v>
      </c>
      <c r="N35" s="1">
        <v>1</v>
      </c>
      <c r="O35" s="1">
        <v>2.5</v>
      </c>
      <c r="P35" s="1">
        <v>0.5</v>
      </c>
      <c r="Q35">
        <v>-10</v>
      </c>
      <c r="R35">
        <v>-2</v>
      </c>
      <c r="S35">
        <v>2</v>
      </c>
      <c r="T35">
        <v>-1</v>
      </c>
      <c r="U35">
        <v>-2</v>
      </c>
      <c r="V35">
        <v>1</v>
      </c>
      <c r="W35" s="1">
        <v>-6</v>
      </c>
      <c r="X35" s="1">
        <v>1</v>
      </c>
      <c r="Y35" s="1">
        <v>1.5</v>
      </c>
      <c r="Z35" s="1">
        <v>0.5</v>
      </c>
      <c r="AA35">
        <v>-10</v>
      </c>
      <c r="AB35">
        <v>-2</v>
      </c>
      <c r="AC35">
        <v>2</v>
      </c>
      <c r="AD35">
        <v>-1</v>
      </c>
      <c r="AE35">
        <v>-2</v>
      </c>
      <c r="AF35">
        <v>-4</v>
      </c>
    </row>
    <row r="36" spans="1:36" x14ac:dyDescent="0.35">
      <c r="B36" t="s">
        <v>82</v>
      </c>
      <c r="C36">
        <v>1</v>
      </c>
      <c r="D36">
        <v>0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6" x14ac:dyDescent="0.35">
      <c r="B37" t="s">
        <v>83</v>
      </c>
      <c r="C37">
        <v>1</v>
      </c>
      <c r="D37">
        <v>0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0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</row>
    <row r="38" spans="1:36" x14ac:dyDescent="0.35">
      <c r="AG38" s="14" t="s">
        <v>154</v>
      </c>
      <c r="AH38" s="14" t="s">
        <v>155</v>
      </c>
      <c r="AI38" t="s">
        <v>163</v>
      </c>
    </row>
    <row r="39" spans="1:36" x14ac:dyDescent="0.35">
      <c r="A39" t="str">
        <f>A2</f>
        <v>Model_10</v>
      </c>
      <c r="B39" s="1" t="s">
        <v>153</v>
      </c>
      <c r="C39" s="4">
        <f>ABS((C$35-C2)/C$35)</f>
        <v>0.88477206230163574</v>
      </c>
      <c r="D39" s="4">
        <f>ABS((D$35-D2)/D$35)</f>
        <v>0</v>
      </c>
      <c r="E39" s="4">
        <f>ABS((E$35-E2)/E$35)</f>
        <v>0.21476332346597499</v>
      </c>
      <c r="F39" s="4">
        <f>ABS((F$35-F2)/F$35)</f>
        <v>1.9988822340965247</v>
      </c>
      <c r="G39" s="4">
        <f>ABS((G$35-G2)/G$35)</f>
        <v>1.061933659017086</v>
      </c>
      <c r="H39" s="4">
        <f>ABS((H$35-H2)/H$35)</f>
        <v>1.2242214977741237</v>
      </c>
      <c r="I39" s="4">
        <f>ABS((I$35-I2)/I$35)</f>
        <v>0.12432044744491874</v>
      </c>
      <c r="J39" s="4">
        <f>ABS((J$35-J2)/J$35)</f>
        <v>3.0747759938240002</v>
      </c>
      <c r="K39" s="4">
        <f>ABS((K$35-K2)/K$35)</f>
        <v>1.549441911280155</v>
      </c>
      <c r="L39" s="4">
        <f>ABS((L$35-L2)/L$35)</f>
        <v>0.55059234052896566</v>
      </c>
      <c r="M39" s="4">
        <f>ABS((M$35-M2)/M$35)</f>
        <v>0.90707281231880199</v>
      </c>
      <c r="N39" s="4">
        <f>ABS((N$35-N2)/N$35)</f>
        <v>0</v>
      </c>
      <c r="O39" s="4">
        <f>ABS((O$35-O2)/O$35)</f>
        <v>0.94474027156829832</v>
      </c>
      <c r="P39" s="4">
        <f>ABS((P$35-P2)/P$35)</f>
        <v>0.24394196271896396</v>
      </c>
      <c r="Q39" s="4">
        <f>ABS((Q$35-Q2)/Q$35)</f>
        <v>1.0634667217731475</v>
      </c>
      <c r="R39" s="4">
        <f>ABS((R$35-R2)/R$35)</f>
        <v>0.35448235273361495</v>
      </c>
      <c r="S39" s="4">
        <f>ABS((S$35-S2)/S$35)</f>
        <v>1.77165240049362</v>
      </c>
      <c r="T39" s="4">
        <f>ABS((T$35-T2)/T$35)</f>
        <v>0.1638382673263501</v>
      </c>
      <c r="U39" s="4">
        <f>ABS((U$35-U2)/U$35)</f>
        <v>0.90304656326770805</v>
      </c>
      <c r="V39" s="4">
        <f>ABS((V$35-V2)/V$35)</f>
        <v>2.1173937320709202</v>
      </c>
      <c r="W39" s="4">
        <f>ABS((W$35-W2)/W$35)</f>
        <v>0.80950264135996497</v>
      </c>
      <c r="X39" s="4">
        <f>ABS((X$35-X2)/X$35)</f>
        <v>0</v>
      </c>
      <c r="Y39" s="4">
        <f>ABS((Y$35-Y2)/Y$35)</f>
        <v>0.45815698305765801</v>
      </c>
      <c r="Z39" s="4">
        <f>ABS((Z$35-Z2)/Z$35)</f>
        <v>1.3276946544647199</v>
      </c>
      <c r="AA39" s="4">
        <f>ABS((AA$35-AA2)/AA$35)</f>
        <v>8.4346199035639918E-2</v>
      </c>
      <c r="AB39" s="4">
        <f>ABS((AB$35-AB2)/AB$35)</f>
        <v>0.39021575450896995</v>
      </c>
      <c r="AC39" s="4">
        <f>ABS((AC$35-AC2)/AC$35)</f>
        <v>0.42153024673462003</v>
      </c>
      <c r="AD39" s="4">
        <f>ABS((AD$35-AD2)/AD$35)</f>
        <v>0.40182912349701005</v>
      </c>
      <c r="AE39" s="4">
        <f>ABS((AE$35-AE2)/AE$35)</f>
        <v>0.13663506507874001</v>
      </c>
      <c r="AF39" s="4">
        <f>ABS((AF$35-AF2)/AF$35)</f>
        <v>0.5697658956050875</v>
      </c>
      <c r="AG39" s="15">
        <f>SUMPRODUCT($C$36:$AF$36,C39:AF39)/SUM($C$36:$AF$36)</f>
        <v>0.86550299392806029</v>
      </c>
      <c r="AH39" s="15">
        <f>SUMPRODUCT($C$37:$AF$37,C39:AF39)/SUM($C$37:$AF$37)</f>
        <v>0.87974130064248945</v>
      </c>
      <c r="AI39" s="6">
        <f>B2</f>
        <v>0.54591453075408902</v>
      </c>
    </row>
    <row r="40" spans="1:36" x14ac:dyDescent="0.35">
      <c r="A40" t="str">
        <f>A3</f>
        <v>Model_25</v>
      </c>
      <c r="B40" s="1" t="s">
        <v>153</v>
      </c>
      <c r="C40" s="4">
        <f>ABS((C$35-C3)/C$35)</f>
        <v>0.40158619880676405</v>
      </c>
      <c r="D40" s="4">
        <f>ABS((D$35-D3)/D$35)</f>
        <v>0</v>
      </c>
      <c r="E40" s="4">
        <f>ABS((E$35-E3)/E$35)</f>
        <v>0.53740631540616413</v>
      </c>
      <c r="F40" s="4">
        <f>ABS((F$35-F3)/F$35)</f>
        <v>0.42268896847963505</v>
      </c>
      <c r="G40" s="4">
        <f>ABS((G$35-G3)/G$35)</f>
        <v>0.19419413805008001</v>
      </c>
      <c r="H40" s="4">
        <f>ABS((H$35-H3)/H$35)</f>
        <v>1.0922156125307081</v>
      </c>
      <c r="I40" s="4">
        <f>ABS((I$35-I3)/I$35)</f>
        <v>2.7270194292068437</v>
      </c>
      <c r="J40" s="4">
        <f>ABS((J$35-J3)/J$35)</f>
        <v>1.8856730163097373</v>
      </c>
      <c r="K40" s="4">
        <f>ABS((K$35-K3)/K$35)</f>
        <v>1.2293807640671723</v>
      </c>
      <c r="L40" s="4">
        <f>ABS((L$35-L3)/L$35)</f>
        <v>0.77679453790187836</v>
      </c>
      <c r="M40" s="4">
        <f>ABS((M$35-M3)/M$35)</f>
        <v>0.93092722197373723</v>
      </c>
      <c r="N40" s="4">
        <f>ABS((N$35-N3)/N$35)</f>
        <v>0</v>
      </c>
      <c r="O40" s="4">
        <f>ABS((O$35-O3)/O$35)</f>
        <v>0.86272802352905276</v>
      </c>
      <c r="P40" s="4">
        <f>ABS((P$35-P3)/P$35)</f>
        <v>1.7901902198791402</v>
      </c>
      <c r="Q40" s="4">
        <f>ABS((Q$35-Q3)/Q$35)</f>
        <v>0.9847606956958771</v>
      </c>
      <c r="R40" s="4">
        <f>ABS((R$35-R3)/R$35)</f>
        <v>0.39056456089019509</v>
      </c>
      <c r="S40" s="4">
        <f>ABS((S$35-S3)/S$35)</f>
        <v>1.880277335643765</v>
      </c>
      <c r="T40" s="4">
        <f>ABS((T$35-T3)/T$35)</f>
        <v>0.43825984001159701</v>
      </c>
      <c r="U40" s="4">
        <f>ABS((U$35-U3)/U$35)</f>
        <v>0.68330392241478</v>
      </c>
      <c r="V40" s="4">
        <f>ABS((V$35-V3)/V$35)</f>
        <v>0.48547059297561701</v>
      </c>
      <c r="W40" s="4">
        <f>ABS((W$35-W3)/W$35)</f>
        <v>0.9918119187156359</v>
      </c>
      <c r="X40" s="4">
        <f>ABS((X$35-X3)/X$35)</f>
        <v>0</v>
      </c>
      <c r="Y40" s="4">
        <f>ABS((Y$35-Y3)/Y$35)</f>
        <v>8.9858214060466679E-2</v>
      </c>
      <c r="Z40" s="4">
        <f>ABS((Z$35-Z3)/Z$35)</f>
        <v>5.0364494323730398</v>
      </c>
      <c r="AA40" s="4">
        <f>ABS((AA$35-AA3)/AA$35)</f>
        <v>1.182970976829528</v>
      </c>
      <c r="AB40" s="4">
        <f>ABS((AB$35-AB3)/AB$35)</f>
        <v>1.9983577132225001</v>
      </c>
      <c r="AC40" s="4">
        <f>ABS((AC$35-AC3)/AC$35)</f>
        <v>1.2117693424224849</v>
      </c>
      <c r="AD40" s="4">
        <f>ABS((AD$35-AD3)/AD$35)</f>
        <v>1.659606158733367</v>
      </c>
      <c r="AE40" s="4">
        <f>ABS((AE$35-AE3)/AE$35)</f>
        <v>1.0155995832756162</v>
      </c>
      <c r="AF40" s="4">
        <f>ABS((AF$35-AF3)/AF$35)</f>
        <v>0.72695928812027</v>
      </c>
      <c r="AG40" s="15">
        <f t="shared" ref="AG40:AG68" si="32">SUMPRODUCT($C$36:$AF$36,C40:AF40)/SUM($C$36:$AF$36)</f>
        <v>1.2292940570248483</v>
      </c>
      <c r="AH40" s="15">
        <f t="shared" ref="AH40:AH68" si="33">SUMPRODUCT($C$37:$AF$37,C40:AF40)/SUM($C$37:$AF$37)</f>
        <v>1.1713638526490984</v>
      </c>
      <c r="AI40" s="6">
        <f>B3</f>
        <v>0.52355581521987904</v>
      </c>
    </row>
    <row r="41" spans="1:36" x14ac:dyDescent="0.35">
      <c r="A41" t="str">
        <f>A4</f>
        <v>Model_32</v>
      </c>
      <c r="B41" s="1" t="s">
        <v>153</v>
      </c>
      <c r="C41" s="4">
        <f>ABS((C$35-C4)/C$35)</f>
        <v>0.76309223175049001</v>
      </c>
      <c r="D41" s="4">
        <f>ABS((D$35-D4)/D$35)</f>
        <v>0</v>
      </c>
      <c r="E41" s="4">
        <f>ABS((E$35-E4)/E$35)</f>
        <v>0.47183450063069671</v>
      </c>
      <c r="F41" s="4">
        <f>ABS((F$35-F4)/F$35)</f>
        <v>1.3106046020984647</v>
      </c>
      <c r="G41" s="4">
        <f>ABS((G$35-G4)/G$35)</f>
        <v>6.0610771179199219E-3</v>
      </c>
      <c r="H41" s="4">
        <f>ABS((H$35-H4)/H$35)</f>
        <v>0.40687980502843879</v>
      </c>
      <c r="I41" s="4">
        <f>ABS((I$35-I4)/I$35)</f>
        <v>1.3948740959167438</v>
      </c>
      <c r="J41" s="4">
        <f>ABS((J$35-J4)/J$35)</f>
        <v>0.78255438804626232</v>
      </c>
      <c r="K41" s="4">
        <f>ABS((K$35-K4)/K$35)</f>
        <v>0.60775929689406871</v>
      </c>
      <c r="L41" s="4">
        <f>ABS((L$35-L4)/L$35)</f>
        <v>0.11388121545315003</v>
      </c>
      <c r="M41" s="4">
        <f>ABS((M$35-M4)/M$35)</f>
        <v>0.89314377307891846</v>
      </c>
      <c r="N41" s="4">
        <f>ABS((N$35-N4)/N$35)</f>
        <v>0</v>
      </c>
      <c r="O41" s="4">
        <f>ABS((O$35-O4)/O$35)</f>
        <v>0.12758235931396394</v>
      </c>
      <c r="P41" s="4">
        <f>ABS((P$35-P4)/P$35)</f>
        <v>3.1450848579406596</v>
      </c>
      <c r="Q41" s="4">
        <f>ABS((Q$35-Q4)/Q$35)</f>
        <v>0.42796978950500497</v>
      </c>
      <c r="R41" s="4">
        <f>ABS((R$35-R4)/R$35)</f>
        <v>2.7163530588149998</v>
      </c>
      <c r="S41" s="4">
        <f>ABS((S$35-S4)/S$35)</f>
        <v>2.9681134223937948</v>
      </c>
      <c r="T41" s="4">
        <f>ABS((T$35-T4)/T$35)</f>
        <v>4.1295256614685005</v>
      </c>
      <c r="U41" s="4">
        <f>ABS((U$35-U4)/U$35)</f>
        <v>1.845457851886745</v>
      </c>
      <c r="V41" s="4">
        <f>ABS((V$35-V4)/V$35)</f>
        <v>4.3753983974456698</v>
      </c>
      <c r="W41" s="4">
        <f>ABS((W$35-W4)/W$35)</f>
        <v>1.0220374812682469</v>
      </c>
      <c r="X41" s="4">
        <f>ABS((X$35-X4)/X$35)</f>
        <v>0</v>
      </c>
      <c r="Y41" s="4">
        <f>ABS((Y$35-Y4)/Y$35)</f>
        <v>0.90360590815544128</v>
      </c>
      <c r="Z41" s="4">
        <f>ABS((Z$35-Z4)/Z$35)</f>
        <v>0.51958477497100808</v>
      </c>
      <c r="AA41" s="4">
        <f>ABS((AA$35-AA4)/AA$35)</f>
        <v>0.95385043621063237</v>
      </c>
      <c r="AB41" s="4">
        <f>ABS((AB$35-AB4)/AB$35)</f>
        <v>0.82892934978008304</v>
      </c>
      <c r="AC41" s="4">
        <f>ABS((AC$35-AC4)/AC$35)</f>
        <v>0.87567648291587852</v>
      </c>
      <c r="AD41" s="4">
        <f>ABS((AD$35-AD4)/AD$35)</f>
        <v>0.68871232867240995</v>
      </c>
      <c r="AE41" s="4">
        <f>ABS((AE$35-AE4)/AE$35)</f>
        <v>0.61403703689575195</v>
      </c>
      <c r="AF41" s="4">
        <f>ABS((AF$35-AF4)/AF$35)</f>
        <v>0.79939667880535126</v>
      </c>
      <c r="AG41" s="15">
        <f t="shared" si="32"/>
        <v>1.017396721023099</v>
      </c>
      <c r="AH41" s="15">
        <f t="shared" si="33"/>
        <v>1.2478518837947887</v>
      </c>
      <c r="AI41" s="6">
        <f>B4</f>
        <v>0.53393024206161499</v>
      </c>
    </row>
    <row r="42" spans="1:36" x14ac:dyDescent="0.35">
      <c r="A42" t="str">
        <f>A5</f>
        <v>Model_33</v>
      </c>
      <c r="B42" s="1" t="s">
        <v>153</v>
      </c>
      <c r="C42" s="4">
        <f>ABS((C$35-C5)/C$35)</f>
        <v>0.21750845909118804</v>
      </c>
      <c r="D42" s="4">
        <f>ABS((D$35-D5)/D$35)</f>
        <v>0</v>
      </c>
      <c r="E42" s="4">
        <f>ABS((E$35-E5)/E$35)</f>
        <v>0.52399601538976082</v>
      </c>
      <c r="F42" s="4">
        <f>ABS((F$35-F5)/F$35)</f>
        <v>0.24726779758929993</v>
      </c>
      <c r="G42" s="4">
        <f>ABS((G$35-G5)/G$35)</f>
        <v>0.42164242267608754</v>
      </c>
      <c r="H42" s="4">
        <f>ABS((H$35-H5)/H$35)</f>
        <v>1.2988264523446558</v>
      </c>
      <c r="I42" s="4">
        <f>ABS((I$35-I5)/I$35)</f>
        <v>1.7077478170394873</v>
      </c>
      <c r="J42" s="4">
        <f>ABS((J$35-J5)/J$35)</f>
        <v>0.812869261950255</v>
      </c>
      <c r="K42" s="4">
        <f>ABS((K$35-K5)/K$35)</f>
        <v>1.0666787428781388</v>
      </c>
      <c r="L42" s="4">
        <f>ABS((L$35-L5)/L$35)</f>
        <v>0.95302800089120876</v>
      </c>
      <c r="M42" s="4">
        <f>ABS((M$35-M5)/M$35)</f>
        <v>0.92090257008870002</v>
      </c>
      <c r="N42" s="4">
        <f>ABS((N$35-N5)/N$35)</f>
        <v>0</v>
      </c>
      <c r="O42" s="4">
        <f>ABS((O$35-O5)/O$35)</f>
        <v>1.2031177520751921</v>
      </c>
      <c r="P42" s="4">
        <f>ABS((P$35-P5)/P$35)</f>
        <v>14.69974422454834</v>
      </c>
      <c r="Q42" s="4">
        <f>ABS((Q$35-Q5)/Q$35)</f>
        <v>1.6563377380371089</v>
      </c>
      <c r="R42" s="4">
        <f>ABS((R$35-R5)/R$35)</f>
        <v>5.6638545989990199</v>
      </c>
      <c r="S42" s="4">
        <f>ABS((S$35-S5)/S$35)</f>
        <v>1.6075158119201651</v>
      </c>
      <c r="T42" s="4">
        <f>ABS((T$35-T5)/T$35)</f>
        <v>1.6222438812255802</v>
      </c>
      <c r="U42" s="4">
        <f>ABS((U$35-U5)/U$35)</f>
        <v>1.339852333068845</v>
      </c>
      <c r="V42" s="4">
        <f>ABS((V$35-V5)/V$35)</f>
        <v>6.02900838851928</v>
      </c>
      <c r="W42" s="4">
        <f>ABS((W$35-W5)/W$35)</f>
        <v>0.77566798528035497</v>
      </c>
      <c r="X42" s="4">
        <f>ABS((X$35-X5)/X$35)</f>
        <v>0</v>
      </c>
      <c r="Y42" s="4">
        <f>ABS((Y$35-Y5)/Y$35)</f>
        <v>0.15481003125508672</v>
      </c>
      <c r="Z42" s="4">
        <f>ABS((Z$35-Z5)/Z$35)</f>
        <v>0.27017426490783603</v>
      </c>
      <c r="AA42" s="4">
        <f>ABS((AA$35-AA5)/AA$35)</f>
        <v>0.99435217641294005</v>
      </c>
      <c r="AB42" s="4">
        <f>ABS((AB$35-AB5)/AB$35)</f>
        <v>1.0102757811546326</v>
      </c>
      <c r="AC42" s="4">
        <f>ABS((AC$35-AC5)/AC$35)</f>
        <v>0.89520772546529803</v>
      </c>
      <c r="AD42" s="4">
        <f>ABS((AD$35-AD5)/AD$35)</f>
        <v>2.1400167942047101</v>
      </c>
      <c r="AE42" s="4">
        <f>ABS((AE$35-AE5)/AE$35)</f>
        <v>0.44847398996353505</v>
      </c>
      <c r="AF42" s="4">
        <f>ABS((AF$35-AF5)/AF$35)</f>
        <v>0.76642006635665894</v>
      </c>
      <c r="AG42" s="15">
        <f t="shared" si="32"/>
        <v>2.1125765666917506</v>
      </c>
      <c r="AH42" s="15">
        <f t="shared" si="33"/>
        <v>1.8313904104938288</v>
      </c>
      <c r="AI42" s="6">
        <f>B5</f>
        <v>0.53104585409164395</v>
      </c>
    </row>
    <row r="43" spans="1:36" x14ac:dyDescent="0.35">
      <c r="A43" t="str">
        <f>A6</f>
        <v>Model_48</v>
      </c>
      <c r="B43" s="1" t="s">
        <v>153</v>
      </c>
      <c r="C43" s="4">
        <f>ABS((C$35-C6)/C$35)</f>
        <v>0.92297186255455022</v>
      </c>
      <c r="D43" s="4">
        <f>ABS((D$35-D6)/D$35)</f>
        <v>0</v>
      </c>
      <c r="E43" s="4">
        <f>ABS((E$35-E6)/E$35)</f>
        <v>0.69968378543853837</v>
      </c>
      <c r="F43" s="4">
        <f>ABS((F$35-F6)/F$35)</f>
        <v>2.4372121095657246</v>
      </c>
      <c r="G43" s="4">
        <f>ABS((G$35-G6)/G$35)</f>
        <v>0.85416418313980125</v>
      </c>
      <c r="H43" s="4">
        <f>ABS((H$35-H6)/H$35)</f>
        <v>0.261714518070225</v>
      </c>
      <c r="I43" s="4">
        <f>ABS((I$35-I6)/I$35)</f>
        <v>0.99839309850358404</v>
      </c>
      <c r="J43" s="4">
        <f>ABS((J$35-J6)/J$35)</f>
        <v>3.1215605735778751</v>
      </c>
      <c r="K43" s="4">
        <f>ABS((K$35-K6)/K$35)</f>
        <v>1.4278798699378936</v>
      </c>
      <c r="L43" s="4">
        <f>ABS((L$35-L6)/L$35)</f>
        <v>0.21110051870345925</v>
      </c>
      <c r="M43" s="4">
        <f>ABS((M$35-M6)/M$35)</f>
        <v>2.0252735614776598</v>
      </c>
      <c r="N43" s="4">
        <f>ABS((N$35-N6)/N$35)</f>
        <v>0</v>
      </c>
      <c r="O43" s="4">
        <f>ABS((O$35-O6)/O$35)</f>
        <v>0.40224647521972801</v>
      </c>
      <c r="P43" s="4">
        <f>ABS((P$35-P6)/P$35)</f>
        <v>4.1416239738464196</v>
      </c>
      <c r="Q43" s="4">
        <f>ABS((Q$35-Q6)/Q$35)</f>
        <v>0.70731537342071604</v>
      </c>
      <c r="R43" s="4">
        <f>ABS((R$35-R6)/R$35)</f>
        <v>1.70287829637527</v>
      </c>
      <c r="S43" s="4">
        <f>ABS((S$35-S6)/S$35)</f>
        <v>7.0854663848879951E-2</v>
      </c>
      <c r="T43" s="4">
        <f>ABS((T$35-T6)/T$35)</f>
        <v>0.79359890520572707</v>
      </c>
      <c r="U43" s="4">
        <f>ABS((U$35-U6)/U$35)</f>
        <v>0.86600381135940596</v>
      </c>
      <c r="V43" s="4">
        <f>ABS((V$35-V6)/V$35)</f>
        <v>1.093577153980732</v>
      </c>
      <c r="W43" s="4">
        <f>ABS((W$35-W6)/W$35)</f>
        <v>0.40663671493530157</v>
      </c>
      <c r="X43" s="4">
        <f>ABS((X$35-X6)/X$35)</f>
        <v>0</v>
      </c>
      <c r="Y43" s="4">
        <f>ABS((Y$35-Y6)/Y$35)</f>
        <v>0.45791598161061664</v>
      </c>
      <c r="Z43" s="4">
        <f>ABS((Z$35-Z6)/Z$35)</f>
        <v>0.77523922920227006</v>
      </c>
      <c r="AA43" s="4">
        <f>ABS((AA$35-AA6)/AA$35)</f>
        <v>0.52833113670349197</v>
      </c>
      <c r="AB43" s="4">
        <f>ABS((AB$35-AB6)/AB$35)</f>
        <v>2.9343234300613403</v>
      </c>
      <c r="AC43" s="4">
        <f>ABS((AC$35-AC6)/AC$35)</f>
        <v>1.3780074119567849</v>
      </c>
      <c r="AD43" s="4">
        <f>ABS((AD$35-AD6)/AD$35)</f>
        <v>0.28118354082107599</v>
      </c>
      <c r="AE43" s="4">
        <f>ABS((AE$35-AE6)/AE$35)</f>
        <v>1.4379676878452301</v>
      </c>
      <c r="AF43" s="4">
        <f>ABS((AF$35-AF6)/AF$35)</f>
        <v>0.82199971377849601</v>
      </c>
      <c r="AG43" s="15">
        <f t="shared" si="32"/>
        <v>1.3632004104278677</v>
      </c>
      <c r="AH43" s="15">
        <f t="shared" si="33"/>
        <v>1.1762836141163258</v>
      </c>
      <c r="AI43" s="6">
        <f>B6</f>
        <v>0.52974665164947499</v>
      </c>
    </row>
    <row r="44" spans="1:36" x14ac:dyDescent="0.35">
      <c r="A44" t="str">
        <f>A7</f>
        <v>Model_60</v>
      </c>
      <c r="B44" s="1" t="s">
        <v>153</v>
      </c>
      <c r="C44" s="4">
        <f>ABS((C$35-C7)/C$35)</f>
        <v>0.615682029724122</v>
      </c>
      <c r="D44" s="4">
        <f>ABS((D$35-D7)/D$35)</f>
        <v>0</v>
      </c>
      <c r="E44" s="4">
        <f>ABS((E$35-E7)/E$35)</f>
        <v>0.35620670517285663</v>
      </c>
      <c r="F44" s="4">
        <f>ABS((F$35-F7)/F$35)</f>
        <v>0.58430293202400008</v>
      </c>
      <c r="G44" s="4">
        <f>ABS((G$35-G7)/G$35)</f>
        <v>0.30401706695556752</v>
      </c>
      <c r="H44" s="4">
        <f>ABS((H$35-H7)/H$35)</f>
        <v>1.9556559473276125</v>
      </c>
      <c r="I44" s="4">
        <f>ABS((I$35-I7)/I$35)</f>
        <v>2.6070665717124939</v>
      </c>
      <c r="J44" s="4">
        <f>ABS((J$35-J7)/J$35)</f>
        <v>7.0689966678619376</v>
      </c>
      <c r="K44" s="4">
        <f>ABS((K$35-K7)/K$35)</f>
        <v>3.7391614317893938</v>
      </c>
      <c r="L44" s="4">
        <f>ABS((L$35-L7)/L$35)</f>
        <v>1.6508483290672278</v>
      </c>
      <c r="M44" s="4">
        <f>ABS((M$35-M7)/M$35)</f>
        <v>1.5566672484079984</v>
      </c>
      <c r="N44" s="4">
        <f>ABS((N$35-N7)/N$35)</f>
        <v>0</v>
      </c>
      <c r="O44" s="4">
        <f>ABS((O$35-O7)/O$35)</f>
        <v>0.143683624267576</v>
      </c>
      <c r="P44" s="4">
        <f>ABS((P$35-P7)/P$35)</f>
        <v>1.6554682254791202</v>
      </c>
      <c r="Q44" s="4">
        <f>ABS((Q$35-Q7)/Q$35)</f>
        <v>0.84161667823791597</v>
      </c>
      <c r="R44" s="4">
        <f>ABS((R$35-R7)/R$35)</f>
        <v>1.7936475276946999</v>
      </c>
      <c r="S44" s="4">
        <f>ABS((S$35-S7)/S$35)</f>
        <v>0.52004194259643599</v>
      </c>
      <c r="T44" s="4">
        <f>ABS((T$35-T7)/T$35)</f>
        <v>2.6933419704437198</v>
      </c>
      <c r="U44" s="4">
        <f>ABS((U$35-U7)/U$35)</f>
        <v>1.3502123355865452</v>
      </c>
      <c r="V44" s="4">
        <f>ABS((V$35-V7)/V$35)</f>
        <v>7.3243241310119602</v>
      </c>
      <c r="W44" s="4">
        <f>ABS((W$35-W7)/W$35)</f>
        <v>1.3021508256594334</v>
      </c>
      <c r="X44" s="4">
        <f>ABS((X$35-X7)/X$35)</f>
        <v>0</v>
      </c>
      <c r="Y44" s="4">
        <f>ABS((Y$35-Y7)/Y$35)</f>
        <v>0.33682012557983337</v>
      </c>
      <c r="Z44" s="4">
        <f>ABS((Z$35-Z7)/Z$35)</f>
        <v>0.94583618640899592</v>
      </c>
      <c r="AA44" s="4">
        <f>ABS((AA$35-AA7)/AA$35)</f>
        <v>0.66597993373870901</v>
      </c>
      <c r="AB44" s="4">
        <f>ABS((AB$35-AB7)/AB$35)</f>
        <v>2.4155540466308549</v>
      </c>
      <c r="AC44" s="4">
        <f>ABS((AC$35-AC7)/AC$35)</f>
        <v>0.64998948574066007</v>
      </c>
      <c r="AD44" s="4">
        <f>ABS((AD$35-AD7)/AD$35)</f>
        <v>0.69152286648750394</v>
      </c>
      <c r="AE44" s="4">
        <f>ABS((AE$35-AE7)/AE$35)</f>
        <v>1.0387772247195244</v>
      </c>
      <c r="AF44" s="4">
        <f>ABS((AF$35-AF7)/AF$35)</f>
        <v>0.78636687994003296</v>
      </c>
      <c r="AG44" s="15">
        <f t="shared" si="32"/>
        <v>0.83297976696932619</v>
      </c>
      <c r="AH44" s="15">
        <f t="shared" si="33"/>
        <v>1.6886644051950639</v>
      </c>
      <c r="AI44" s="6">
        <f>B7</f>
        <v>0.569993376731872</v>
      </c>
    </row>
    <row r="45" spans="1:36" x14ac:dyDescent="0.35">
      <c r="A45" t="str">
        <f>A8</f>
        <v>Model_81</v>
      </c>
      <c r="B45" s="1" t="s">
        <v>153</v>
      </c>
      <c r="C45" s="4">
        <f>ABS((C$35-C8)/C$35)</f>
        <v>1.1859603643417358</v>
      </c>
      <c r="D45" s="4">
        <f>ABS((D$35-D8)/D$35)</f>
        <v>0</v>
      </c>
      <c r="E45" s="4">
        <f>ABS((E$35-E8)/E$35)</f>
        <v>0.65042784810066245</v>
      </c>
      <c r="F45" s="4">
        <f>ABS((F$35-F8)/F$35)</f>
        <v>0.33311375975608737</v>
      </c>
      <c r="G45" s="4">
        <f>ABS((G$35-G8)/G$35)</f>
        <v>1.0637639090418816</v>
      </c>
      <c r="H45" s="4">
        <f>ABS((H$35-H8)/H$35)</f>
        <v>1.9543600678443875</v>
      </c>
      <c r="I45" s="4">
        <f>ABS((I$35-I8)/I$35)</f>
        <v>1.709916651248931</v>
      </c>
      <c r="J45" s="4">
        <f>ABS((J$35-J8)/J$35)</f>
        <v>1.4235251545905998</v>
      </c>
      <c r="K45" s="4">
        <f>ABS((K$35-K8)/K$35)</f>
        <v>2.2232775986194562</v>
      </c>
      <c r="L45" s="4">
        <f>ABS((L$35-L8)/L$35)</f>
        <v>0.32232379913330317</v>
      </c>
      <c r="M45" s="4">
        <f>ABS((M$35-M8)/M$35)</f>
        <v>0.16890986760457505</v>
      </c>
      <c r="N45" s="4">
        <f>ABS((N$35-N8)/N$35)</f>
        <v>0</v>
      </c>
      <c r="O45" s="4">
        <f>ABS((O$35-O8)/O$35)</f>
        <v>0.60949327945709242</v>
      </c>
      <c r="P45" s="4">
        <f>ABS((P$35-P8)/P$35)</f>
        <v>0.49287742376327603</v>
      </c>
      <c r="Q45" s="4">
        <f>ABS((Q$35-Q8)/Q$35)</f>
        <v>0.49098973274231</v>
      </c>
      <c r="R45" s="4">
        <f>ABS((R$35-R8)/R$35)</f>
        <v>1.859196722507475</v>
      </c>
      <c r="S45" s="4">
        <f>ABS((S$35-S8)/S$35)</f>
        <v>1.4945833683013898</v>
      </c>
      <c r="T45" s="4">
        <f>ABS((T$35-T8)/T$35)</f>
        <v>1.2238376140594398</v>
      </c>
      <c r="U45" s="4">
        <f>ABS((U$35-U8)/U$35)</f>
        <v>0.74967288970946999</v>
      </c>
      <c r="V45" s="4">
        <f>ABS((V$35-V8)/V$35)</f>
        <v>4.4987208843231201</v>
      </c>
      <c r="W45" s="4">
        <f>ABS((W$35-W8)/W$35)</f>
        <v>0.60629232724507665</v>
      </c>
      <c r="X45" s="4">
        <f>ABS((X$35-X8)/X$35)</f>
        <v>0</v>
      </c>
      <c r="Y45" s="4">
        <f>ABS((Y$35-Y8)/Y$35)</f>
        <v>1.7228609720865868</v>
      </c>
      <c r="Z45" s="4">
        <f>ABS((Z$35-Z8)/Z$35)</f>
        <v>5.3575487136840803</v>
      </c>
      <c r="AA45" s="4">
        <f>ABS((AA$35-AA8)/AA$35)</f>
        <v>0.80426803827285798</v>
      </c>
      <c r="AB45" s="4">
        <f>ABS((AB$35-AB8)/AB$35)</f>
        <v>1.4867936372756956</v>
      </c>
      <c r="AC45" s="4">
        <f>ABS((AC$35-AC8)/AC$35)</f>
        <v>0.46444272994995006</v>
      </c>
      <c r="AD45" s="4">
        <f>ABS((AD$35-AD8)/AD$35)</f>
        <v>6.2112331390379971E-2</v>
      </c>
      <c r="AE45" s="4">
        <f>ABS((AE$35-AE8)/AE$35)</f>
        <v>0.48205304145812999</v>
      </c>
      <c r="AF45" s="4">
        <f>ABS((AF$35-AF8)/AF$35)</f>
        <v>0.70683941245079251</v>
      </c>
      <c r="AG45" s="15">
        <f t="shared" si="32"/>
        <v>1.2363871728932416</v>
      </c>
      <c r="AH45" s="15">
        <f t="shared" si="33"/>
        <v>1.2647467458873609</v>
      </c>
      <c r="AI45" s="6">
        <f>B8</f>
        <v>0.55603182315826405</v>
      </c>
    </row>
    <row r="46" spans="1:36" x14ac:dyDescent="0.35">
      <c r="A46" t="str">
        <f>A9</f>
        <v>Model_83</v>
      </c>
      <c r="B46" s="1" t="s">
        <v>153</v>
      </c>
      <c r="C46" s="4">
        <f>ABS((C$35-C9)/C$35)</f>
        <v>0.17991390228271609</v>
      </c>
      <c r="D46" s="4">
        <f>ABS((D$35-D9)/D$35)</f>
        <v>0</v>
      </c>
      <c r="E46" s="4">
        <f>ABS((E$35-E9)/E$35)</f>
        <v>1.3087034225458354E-2</v>
      </c>
      <c r="F46" s="4">
        <f>ABS((F$35-F9)/F$35)</f>
        <v>0.36997078359127256</v>
      </c>
      <c r="G46" s="4">
        <f>ABS((G$35-G9)/G$35)</f>
        <v>0.44981330633163497</v>
      </c>
      <c r="H46" s="4">
        <f>ABS((H$35-H9)/H$35)</f>
        <v>2.8195781111717189</v>
      </c>
      <c r="I46" s="4">
        <f>ABS((I$35-I9)/I$35)</f>
        <v>1.7506145834922751</v>
      </c>
      <c r="J46" s="4">
        <f>ABS((J$35-J9)/J$35)</f>
        <v>6.950729727745049</v>
      </c>
      <c r="K46" s="4">
        <f>ABS((K$35-K9)/K$35)</f>
        <v>3.7115591168403625</v>
      </c>
      <c r="L46" s="4">
        <f>ABS((L$35-L9)/L$35)</f>
        <v>1.6676937937736498</v>
      </c>
      <c r="M46" s="4">
        <f>ABS((M$35-M9)/M$35)</f>
        <v>0.83574381470680248</v>
      </c>
      <c r="N46" s="4">
        <f>ABS((N$35-N9)/N$35)</f>
        <v>0</v>
      </c>
      <c r="O46" s="4">
        <f>ABS((O$35-O9)/O$35)</f>
        <v>0.91481230854988116</v>
      </c>
      <c r="P46" s="4">
        <f>ABS((P$35-P9)/P$35)</f>
        <v>5.922758579253995E-2</v>
      </c>
      <c r="Q46" s="4">
        <f>ABS((Q$35-Q9)/Q$35)</f>
        <v>0.89350076913833709</v>
      </c>
      <c r="R46" s="4">
        <f>ABS((R$35-R9)/R$35)</f>
        <v>1.3748049139976499</v>
      </c>
      <c r="S46" s="4">
        <f>ABS((S$35-S9)/S$35)</f>
        <v>0.88422080874443099</v>
      </c>
      <c r="T46" s="4">
        <f>ABS((T$35-T9)/T$35)</f>
        <v>0.94332388043403625</v>
      </c>
      <c r="U46" s="4">
        <f>ABS((U$35-U9)/U$35)</f>
        <v>1.0444677025079727</v>
      </c>
      <c r="V46" s="4">
        <f>ABS((V$35-V9)/V$35)</f>
        <v>0.97015801817178726</v>
      </c>
      <c r="W46" s="4">
        <f>ABS((W$35-W9)/W$35)</f>
        <v>0.69026150306065992</v>
      </c>
      <c r="X46" s="4">
        <f>ABS((X$35-X9)/X$35)</f>
        <v>0</v>
      </c>
      <c r="Y46" s="4">
        <f>ABS((Y$35-Y9)/Y$35)</f>
        <v>2.458850542703998E-2</v>
      </c>
      <c r="Z46" s="4">
        <f>ABS((Z$35-Z9)/Z$35)</f>
        <v>5.6886191368103001</v>
      </c>
      <c r="AA46" s="4">
        <f>ABS((AA$35-AA9)/AA$35)</f>
        <v>0.61240551471710292</v>
      </c>
      <c r="AB46" s="4">
        <f>ABS((AB$35-AB9)/AB$35)</f>
        <v>2.72421002388</v>
      </c>
      <c r="AC46" s="4">
        <f>ABS((AC$35-AC9)/AC$35)</f>
        <v>0.80415666103362993</v>
      </c>
      <c r="AD46" s="4">
        <f>ABS((AD$35-AD9)/AD$35)</f>
        <v>0.94466362893581401</v>
      </c>
      <c r="AE46" s="4">
        <f>ABS((AE$35-AE9)/AE$35)</f>
        <v>1.3598369359970091</v>
      </c>
      <c r="AF46" s="4">
        <f>ABS((AF$35-AF9)/AF$35)</f>
        <v>0.95691997930407524</v>
      </c>
      <c r="AG46" s="15">
        <f t="shared" si="32"/>
        <v>0.9751360638274077</v>
      </c>
      <c r="AH46" s="15">
        <f t="shared" si="33"/>
        <v>1.4681067426171561</v>
      </c>
      <c r="AI46" s="6">
        <f>B9</f>
        <v>0.55957227945327703</v>
      </c>
    </row>
    <row r="47" spans="1:36" x14ac:dyDescent="0.35">
      <c r="A47" t="str">
        <f>A10</f>
        <v>Model_93</v>
      </c>
      <c r="B47" s="1" t="s">
        <v>153</v>
      </c>
      <c r="C47" s="4">
        <f>ABS((C$35-C10)/C$35)</f>
        <v>0.67278878688812394</v>
      </c>
      <c r="D47" s="4">
        <f>ABS((D$35-D10)/D$35)</f>
        <v>0</v>
      </c>
      <c r="E47" s="4">
        <f>ABS((E$35-E10)/E$35)</f>
        <v>0.64818316201369008</v>
      </c>
      <c r="F47" s="4">
        <f>ABS((F$35-F10)/F$35)</f>
        <v>0.14910699427127749</v>
      </c>
      <c r="G47" s="4">
        <f>ABS((G$35-G10)/G$35)</f>
        <v>0.94191152602434158</v>
      </c>
      <c r="H47" s="4">
        <f>ABS((H$35-H10)/H$35)</f>
        <v>1.5393465608358381</v>
      </c>
      <c r="I47" s="4">
        <f>ABS((I$35-I10)/I$35)</f>
        <v>0.75649829953908931</v>
      </c>
      <c r="J47" s="4">
        <f>ABS((J$35-J10)/J$35)</f>
        <v>3.5847664475440877</v>
      </c>
      <c r="K47" s="4">
        <f>ABS((K$35-K10)/K$35)</f>
        <v>0.19366995990276248</v>
      </c>
      <c r="L47" s="4">
        <f>ABS((L$35-L10)/L$35)</f>
        <v>1.5895794928073874</v>
      </c>
      <c r="M47" s="4">
        <f>ABS((M$35-M10)/M$35)</f>
        <v>0.93204639852046967</v>
      </c>
      <c r="N47" s="4">
        <f>ABS((N$35-N10)/N$35)</f>
        <v>0</v>
      </c>
      <c r="O47" s="4">
        <f>ABS((O$35-O10)/O$35)</f>
        <v>0.57009797096252801</v>
      </c>
      <c r="P47" s="4">
        <f>ABS((P$35-P10)/P$35)</f>
        <v>0.50362151861190796</v>
      </c>
      <c r="Q47" s="4">
        <f>ABS((Q$35-Q10)/Q$35)</f>
        <v>0.43073225021362405</v>
      </c>
      <c r="R47" s="4">
        <f>ABS((R$35-R10)/R$35)</f>
        <v>2.00087547302246</v>
      </c>
      <c r="S47" s="4">
        <f>ABS((S$35-S10)/S$35)</f>
        <v>1.4806222915649401</v>
      </c>
      <c r="T47" s="4">
        <f>ABS((T$35-T10)/T$35)</f>
        <v>7.1833944320678693</v>
      </c>
      <c r="U47" s="4">
        <f>ABS((U$35-U10)/U$35)</f>
        <v>3.6740889549255353</v>
      </c>
      <c r="V47" s="4">
        <f>ABS((V$35-V10)/V$35)</f>
        <v>10.362459182739251</v>
      </c>
      <c r="W47" s="4">
        <f>ABS((W$35-W10)/W$35)</f>
        <v>0.51834730307261168</v>
      </c>
      <c r="X47" s="4">
        <f>ABS((X$35-X10)/X$35)</f>
        <v>0</v>
      </c>
      <c r="Y47" s="4">
        <f>ABS((Y$35-Y10)/Y$35)</f>
        <v>0.75562763214111328</v>
      </c>
      <c r="Z47" s="4">
        <f>ABS((Z$35-Z10)/Z$35)</f>
        <v>9.7126674652099592</v>
      </c>
      <c r="AA47" s="4">
        <f>ABS((AA$35-AA10)/AA$35)</f>
        <v>5.3722381591699174E-3</v>
      </c>
      <c r="AB47" s="4">
        <f>ABS((AB$35-AB10)/AB$35)</f>
        <v>4.0456914901732999</v>
      </c>
      <c r="AC47" s="4">
        <f>ABS((AC$35-AC10)/AC$35)</f>
        <v>0.36805498600005992</v>
      </c>
      <c r="AD47" s="4">
        <f>ABS((AD$35-AD10)/AD$35)</f>
        <v>6.3672528266906703</v>
      </c>
      <c r="AE47" s="4">
        <f>ABS((AE$35-AE10)/AE$35)</f>
        <v>4.221709966659545</v>
      </c>
      <c r="AF47" s="4">
        <f>ABS((AF$35-AF10)/AF$35)</f>
        <v>0.20403599739074751</v>
      </c>
      <c r="AG47" s="15">
        <f t="shared" si="32"/>
        <v>1.6069430257435202</v>
      </c>
      <c r="AH47" s="15">
        <f t="shared" si="33"/>
        <v>2.3486129484426801</v>
      </c>
      <c r="AI47" s="6">
        <f>B10</f>
        <v>0.56258273124694802</v>
      </c>
    </row>
    <row r="48" spans="1:36" x14ac:dyDescent="0.35">
      <c r="A48" t="str">
        <f>A11</f>
        <v>Model_100</v>
      </c>
      <c r="B48" s="1" t="s">
        <v>153</v>
      </c>
      <c r="C48" s="4">
        <f>ABS((C$35-C11)/C$35)</f>
        <v>0.92360632419586197</v>
      </c>
      <c r="D48" s="4">
        <f>ABS((D$35-D11)/D$35)</f>
        <v>0</v>
      </c>
      <c r="E48" s="4">
        <f>ABS((E$35-E11)/E$35)</f>
        <v>0.24876737594604165</v>
      </c>
      <c r="F48" s="4">
        <f>ABS((F$35-F11)/F$35)</f>
        <v>8.9002683758737516E-2</v>
      </c>
      <c r="G48" s="4">
        <f>ABS((G$35-G11)/G$35)</f>
        <v>0.55904307961463995</v>
      </c>
      <c r="H48" s="4">
        <f>ABS((H$35-H11)/H$35)</f>
        <v>1.342085137963295</v>
      </c>
      <c r="I48" s="4">
        <f>ABS((I$35-I11)/I$35)</f>
        <v>1.2853323817253062</v>
      </c>
      <c r="J48" s="4">
        <f>ABS((J$35-J11)/J$35)</f>
        <v>3.5441992282867374</v>
      </c>
      <c r="K48" s="4">
        <f>ABS((K$35-K11)/K$35)</f>
        <v>2.0361360013484937</v>
      </c>
      <c r="L48" s="4">
        <f>ABS((L$35-L11)/L$35)</f>
        <v>0.41281486302614373</v>
      </c>
      <c r="M48" s="4">
        <f>ABS((M$35-M11)/M$35)</f>
        <v>0.97955556089679419</v>
      </c>
      <c r="N48" s="4">
        <f>ABS((N$35-N11)/N$35)</f>
        <v>0</v>
      </c>
      <c r="O48" s="4">
        <f>ABS((O$35-O11)/O$35)</f>
        <v>0.95258094370365165</v>
      </c>
      <c r="P48" s="4">
        <f>ABS((P$35-P11)/P$35)</f>
        <v>0.74251925945282005</v>
      </c>
      <c r="Q48" s="4">
        <f>ABS((Q$35-Q11)/Q$35)</f>
        <v>0.93624529242515564</v>
      </c>
      <c r="R48" s="4">
        <f>ABS((R$35-R11)/R$35)</f>
        <v>0.53998979926109347</v>
      </c>
      <c r="S48" s="4">
        <f>ABS((S$35-S11)/S$35)</f>
        <v>0.52793070673942599</v>
      </c>
      <c r="T48" s="4">
        <f>ABS((T$35-T11)/T$35)</f>
        <v>1.0030125244520605</v>
      </c>
      <c r="U48" s="4">
        <f>ABS((U$35-U11)/U$35)</f>
        <v>1.0573169589042659</v>
      </c>
      <c r="V48" s="4">
        <f>ABS((V$35-V11)/V$35)</f>
        <v>0.89696068316698097</v>
      </c>
      <c r="W48" s="4">
        <f>ABS((W$35-W11)/W$35)</f>
        <v>0.29423252741495826</v>
      </c>
      <c r="X48" s="4">
        <f>ABS((X$35-X11)/X$35)</f>
        <v>0</v>
      </c>
      <c r="Y48" s="4">
        <f>ABS((Y$35-Y11)/Y$35)</f>
        <v>0.50975855191548669</v>
      </c>
      <c r="Z48" s="4">
        <f>ABS((Z$35-Z11)/Z$35)</f>
        <v>1.1430411338806001</v>
      </c>
      <c r="AA48" s="4">
        <f>ABS((AA$35-AA11)/AA$35)</f>
        <v>0.44300293922424394</v>
      </c>
      <c r="AB48" s="4">
        <f>ABS((AB$35-AB11)/AB$35)</f>
        <v>1.634368300437925</v>
      </c>
      <c r="AC48" s="4">
        <f>ABS((AC$35-AC11)/AC$35)</f>
        <v>1.8502931594848602</v>
      </c>
      <c r="AD48" s="4">
        <f>ABS((AD$35-AD11)/AD$35)</f>
        <v>0.61955916881560991</v>
      </c>
      <c r="AE48" s="4">
        <f>ABS((AE$35-AE11)/AE$35)</f>
        <v>0.39692032337188499</v>
      </c>
      <c r="AF48" s="4">
        <f>ABS((AF$35-AF11)/AF$35)</f>
        <v>0.254891097545625</v>
      </c>
      <c r="AG48" s="15">
        <f t="shared" si="32"/>
        <v>0.65367381790721679</v>
      </c>
      <c r="AH48" s="15">
        <f t="shared" si="33"/>
        <v>0.93419133359106266</v>
      </c>
      <c r="AI48" s="6">
        <f>B11</f>
        <v>0.54638397693634</v>
      </c>
    </row>
    <row r="49" spans="1:35" x14ac:dyDescent="0.35">
      <c r="A49" t="str">
        <f>A12</f>
        <v>Model_163</v>
      </c>
      <c r="B49" s="1" t="s">
        <v>153</v>
      </c>
      <c r="C49" s="4">
        <f>ABS((C$35-C12)/C$35)</f>
        <v>1.1138773322105406</v>
      </c>
      <c r="D49" s="4">
        <f>ABS((D$35-D12)/D$35)</f>
        <v>0</v>
      </c>
      <c r="E49" s="4">
        <f>ABS((E$35-E12)/E$35)</f>
        <v>1.5177570184071834</v>
      </c>
      <c r="F49" s="4">
        <f>ABS((F$35-F12)/F$35)</f>
        <v>2.2939106225967252</v>
      </c>
      <c r="G49" s="4">
        <f>ABS((G$35-G12)/G$35)</f>
        <v>0.69071528315544251</v>
      </c>
      <c r="H49" s="4">
        <f>ABS((H$35-H12)/H$35)</f>
        <v>2.5859626233577684</v>
      </c>
      <c r="I49" s="4">
        <f>ABS((I$35-I12)/I$35)</f>
        <v>2.0682528614993645E-2</v>
      </c>
      <c r="J49" s="4">
        <f>ABS((J$35-J12)/J$35)</f>
        <v>5.5330004692077628</v>
      </c>
      <c r="K49" s="4">
        <f>ABS((K$35-K12)/K$35)</f>
        <v>2.1651759147643999</v>
      </c>
      <c r="L49" s="4">
        <f>ABS((L$35-L12)/L$35)</f>
        <v>6.7958965897562534E-2</v>
      </c>
      <c r="M49" s="4">
        <f>ABS((M$35-M12)/M$35)</f>
        <v>0.50716348489125662</v>
      </c>
      <c r="N49" s="4">
        <f>ABS((N$35-N12)/N$35)</f>
        <v>0</v>
      </c>
      <c r="O49" s="4">
        <f>ABS((O$35-O12)/O$35)</f>
        <v>0.69552469253540039</v>
      </c>
      <c r="P49" s="4">
        <f>ABS((P$35-P12)/P$35)</f>
        <v>0.89605426788329989</v>
      </c>
      <c r="Q49" s="4">
        <f>ABS((Q$35-Q12)/Q$35)</f>
        <v>0.40358147621154805</v>
      </c>
      <c r="R49" s="4">
        <f>ABS((R$35-R12)/R$35)</f>
        <v>1.0346302092075348</v>
      </c>
      <c r="S49" s="4">
        <f>ABS((S$35-S12)/S$35)</f>
        <v>1.9547803401946999</v>
      </c>
      <c r="T49" s="4">
        <f>ABS((T$35-T12)/T$35)</f>
        <v>0.77545991539955206</v>
      </c>
      <c r="U49" s="4">
        <f>ABS((U$35-U12)/U$35)</f>
        <v>0.22628372907639005</v>
      </c>
      <c r="V49" s="4">
        <f>ABS((V$35-V12)/V$35)</f>
        <v>2.5809154510498002</v>
      </c>
      <c r="W49" s="4">
        <f>ABS((W$35-W12)/W$35)</f>
        <v>0.7997577389081334</v>
      </c>
      <c r="X49" s="4">
        <f>ABS((X$35-X12)/X$35)</f>
        <v>0</v>
      </c>
      <c r="Y49" s="4">
        <f>ABS((Y$35-Y12)/Y$35)</f>
        <v>0.85970488190650995</v>
      </c>
      <c r="Z49" s="4">
        <f>ABS((Z$35-Z12)/Z$35)</f>
        <v>0.79941909015178803</v>
      </c>
      <c r="AA49" s="4">
        <f>ABS((AA$35-AA12)/AA$35)</f>
        <v>0.91582630872726445</v>
      </c>
      <c r="AB49" s="4">
        <f>ABS((AB$35-AB12)/AB$35)</f>
        <v>1.4636076986789699</v>
      </c>
      <c r="AC49" s="4">
        <f>ABS((AC$35-AC12)/AC$35)</f>
        <v>1.414296299219131</v>
      </c>
      <c r="AD49" s="4">
        <f>ABS((AD$35-AD12)/AD$35)</f>
        <v>1.4734125137329102</v>
      </c>
      <c r="AE49" s="4">
        <f>ABS((AE$35-AE12)/AE$35)</f>
        <v>0.23214185237884499</v>
      </c>
      <c r="AF49" s="4">
        <f>ABS((AF$35-AF12)/AF$35)</f>
        <v>0.42473876476287997</v>
      </c>
      <c r="AG49" s="15">
        <f t="shared" si="32"/>
        <v>1.0536854588323152</v>
      </c>
      <c r="AH49" s="15">
        <f t="shared" si="33"/>
        <v>1.2387533138195663</v>
      </c>
      <c r="AI49" s="6">
        <f>B12</f>
        <v>0.53322565555572499</v>
      </c>
    </row>
    <row r="50" spans="1:35" x14ac:dyDescent="0.35">
      <c r="A50" t="str">
        <f>A13</f>
        <v>Model_246</v>
      </c>
      <c r="B50" s="1" t="s">
        <v>153</v>
      </c>
      <c r="C50" s="4">
        <f>ABS((C$35-C13)/C$35)</f>
        <v>1.4138733863830559</v>
      </c>
      <c r="D50" s="4">
        <f>ABS((D$35-D13)/D$35)</f>
        <v>0</v>
      </c>
      <c r="E50" s="4">
        <f>ABS((E$35-E13)/E$35)</f>
        <v>4.4210294882450027E-2</v>
      </c>
      <c r="F50" s="4">
        <f>ABS((F$35-F13)/F$35)</f>
        <v>1.6037776470184246</v>
      </c>
      <c r="G50" s="4">
        <f>ABS((G$35-G13)/G$35)</f>
        <v>0.69712817668914873</v>
      </c>
      <c r="H50" s="4">
        <f>ABS((H$35-H13)/H$35)</f>
        <v>2.1071284115314435</v>
      </c>
      <c r="I50" s="4">
        <f>ABS((I$35-I13)/I$35)</f>
        <v>0.51718169450759377</v>
      </c>
      <c r="J50" s="4">
        <f>ABS((J$35-J13)/J$35)</f>
        <v>3.9013338685035626</v>
      </c>
      <c r="K50" s="4">
        <f>ABS((K$35-K13)/K$35)</f>
        <v>1.1218323409557336</v>
      </c>
      <c r="L50" s="4">
        <f>ABS((L$35-L13)/L$35)</f>
        <v>0.37141805887222501</v>
      </c>
      <c r="M50" s="4">
        <f>ABS((M$35-M13)/M$35)</f>
        <v>1.1635667681694031</v>
      </c>
      <c r="N50" s="4">
        <f>ABS((N$35-N13)/N$35)</f>
        <v>0</v>
      </c>
      <c r="O50" s="4">
        <f>ABS((O$35-O13)/O$35)</f>
        <v>0.76624748706817647</v>
      </c>
      <c r="P50" s="4">
        <f>ABS((P$35-P13)/P$35)</f>
        <v>0.50246441364288197</v>
      </c>
      <c r="Q50" s="4">
        <f>ABS((Q$35-Q13)/Q$35)</f>
        <v>0.41408176422119203</v>
      </c>
      <c r="R50" s="4">
        <f>ABS((R$35-R13)/R$35)</f>
        <v>1.2116180211305614</v>
      </c>
      <c r="S50" s="4">
        <f>ABS((S$35-S13)/S$35)</f>
        <v>1.5478253364562948</v>
      </c>
      <c r="T50" s="4">
        <f>ABS((T$35-T13)/T$35)</f>
        <v>3.2764830589294398</v>
      </c>
      <c r="U50" s="4">
        <f>ABS((U$35-U13)/U$35)</f>
        <v>1.54633569717407</v>
      </c>
      <c r="V50" s="4">
        <f>ABS((V$35-V13)/V$35)</f>
        <v>6.2217226028442303</v>
      </c>
      <c r="W50" s="4">
        <f>ABS((W$35-W13)/W$35)</f>
        <v>0.86348954836527525</v>
      </c>
      <c r="X50" s="4">
        <f>ABS((X$35-X13)/X$35)</f>
        <v>0</v>
      </c>
      <c r="Y50" s="4">
        <f>ABS((Y$35-Y13)/Y$35)</f>
        <v>0.8140044013659159</v>
      </c>
      <c r="Z50" s="4">
        <f>ABS((Z$35-Z13)/Z$35)</f>
        <v>2.1658003330230602</v>
      </c>
      <c r="AA50" s="4">
        <f>ABS((AA$35-AA13)/AA$35)</f>
        <v>0.88910672664642409</v>
      </c>
      <c r="AB50" s="4">
        <f>ABS((AB$35-AB13)/AB$35)</f>
        <v>1.5803177952766401</v>
      </c>
      <c r="AC50" s="4">
        <f>ABS((AC$35-AC13)/AC$35)</f>
        <v>1.2538923621177669</v>
      </c>
      <c r="AD50" s="4">
        <f>ABS((AD$35-AD13)/AD$35)</f>
        <v>2.6982368230819702</v>
      </c>
      <c r="AE50" s="4">
        <f>ABS((AE$35-AE13)/AE$35)</f>
        <v>1.519434332847595</v>
      </c>
      <c r="AF50" s="4">
        <f>ABS((AF$35-AF13)/AF$35)</f>
        <v>0.80420222878456127</v>
      </c>
      <c r="AG50" s="15">
        <f t="shared" si="32"/>
        <v>1.0374926977687382</v>
      </c>
      <c r="AH50" s="15">
        <f t="shared" si="33"/>
        <v>1.5191375400181149</v>
      </c>
      <c r="AI50" s="6">
        <f>B13</f>
        <v>0.52456998825073198</v>
      </c>
    </row>
    <row r="51" spans="1:35" x14ac:dyDescent="0.35">
      <c r="A51" t="str">
        <f>A14</f>
        <v>Model_277</v>
      </c>
      <c r="B51" s="1" t="s">
        <v>153</v>
      </c>
      <c r="C51" s="4">
        <f>ABS((C$35-C14)/C$35)</f>
        <v>0.52444949150085596</v>
      </c>
      <c r="D51" s="4">
        <f>ABS((D$35-D14)/D$35)</f>
        <v>0</v>
      </c>
      <c r="E51" s="4">
        <f>ABS((E$35-E14)/E$35)</f>
        <v>0.43467408418655412</v>
      </c>
      <c r="F51" s="4">
        <f>ABS((F$35-F14)/F$35)</f>
        <v>1.2087988257408124</v>
      </c>
      <c r="G51" s="4">
        <f>ABS((G$35-G14)/G$35)</f>
        <v>0.28936630487442128</v>
      </c>
      <c r="H51" s="4">
        <f>ABS((H$35-H14)/H$35)</f>
        <v>2.1133135855197875</v>
      </c>
      <c r="I51" s="4">
        <f>ABS((I$35-I14)/I$35)</f>
        <v>2.3576938509941061</v>
      </c>
      <c r="J51" s="4">
        <f>ABS((J$35-J14)/J$35)</f>
        <v>1.8670778870582496</v>
      </c>
      <c r="K51" s="4">
        <f>ABS((K$35-K14)/K$35)</f>
        <v>0.99359700083732483</v>
      </c>
      <c r="L51" s="4">
        <f>ABS((L$35-L14)/L$35)</f>
        <v>0.37716293334960932</v>
      </c>
      <c r="M51" s="4">
        <f>ABS((M$35-M14)/M$35)</f>
        <v>0.24616535504659165</v>
      </c>
      <c r="N51" s="4">
        <f>ABS((N$35-N14)/N$35)</f>
        <v>0</v>
      </c>
      <c r="O51" s="4">
        <f>ABS((O$35-O14)/O$35)</f>
        <v>0.41456322669983203</v>
      </c>
      <c r="P51" s="4">
        <f>ABS((P$35-P14)/P$35)</f>
        <v>5.9261856079101403</v>
      </c>
      <c r="Q51" s="4">
        <f>ABS((Q$35-Q14)/Q$35)</f>
        <v>1.3651581287384029</v>
      </c>
      <c r="R51" s="4">
        <f>ABS((R$35-R14)/R$35)</f>
        <v>2.8347921371459952</v>
      </c>
      <c r="S51" s="4">
        <f>ABS((S$35-S14)/S$35)</f>
        <v>0.97504329681395996</v>
      </c>
      <c r="T51" s="4">
        <f>ABS((T$35-T14)/T$35)</f>
        <v>1.2667702138423911</v>
      </c>
      <c r="U51" s="4">
        <f>ABS((U$35-U14)/U$35)</f>
        <v>0.54891455173492454</v>
      </c>
      <c r="V51" s="4">
        <f>ABS((V$35-V14)/V$35)</f>
        <v>1.0628477931022644</v>
      </c>
      <c r="W51" s="4">
        <f>ABS((W$35-W14)/W$35)</f>
        <v>0.99104196391999722</v>
      </c>
      <c r="X51" s="4">
        <f>ABS((X$35-X14)/X$35)</f>
        <v>0</v>
      </c>
      <c r="Y51" s="4">
        <f>ABS((Y$35-Y14)/Y$35)</f>
        <v>0.82233633597691869</v>
      </c>
      <c r="Z51" s="4">
        <f>ABS((Z$35-Z14)/Z$35)</f>
        <v>0.34126633405685602</v>
      </c>
      <c r="AA51" s="4">
        <f>ABS((AA$35-AA14)/AA$35)</f>
        <v>0.96369361281394961</v>
      </c>
      <c r="AB51" s="4">
        <f>ABS((AB$35-AB14)/AB$35)</f>
        <v>1.0640315115451811</v>
      </c>
      <c r="AC51" s="4">
        <f>ABS((AC$35-AC14)/AC$35)</f>
        <v>1.1770099699497221</v>
      </c>
      <c r="AD51" s="4">
        <f>ABS((AD$35-AD14)/AD$35)</f>
        <v>0.89490029960870798</v>
      </c>
      <c r="AE51" s="4">
        <f>ABS((AE$35-AE14)/AE$35)</f>
        <v>0.91243606805801403</v>
      </c>
      <c r="AF51" s="4">
        <f>ABS((AF$35-AF14)/AF$35)</f>
        <v>0.95887982472777378</v>
      </c>
      <c r="AG51" s="15">
        <f t="shared" si="32"/>
        <v>1.2121645805598398</v>
      </c>
      <c r="AH51" s="15">
        <f t="shared" si="33"/>
        <v>1.2197100072501239</v>
      </c>
      <c r="AI51" s="6">
        <f>B14</f>
        <v>0.53200662136077803</v>
      </c>
    </row>
    <row r="52" spans="1:35" x14ac:dyDescent="0.35">
      <c r="A52" t="str">
        <f>A15</f>
        <v>Model_296</v>
      </c>
      <c r="B52" s="1" t="s">
        <v>153</v>
      </c>
      <c r="C52" s="4">
        <f>ABS((C$35-C15)/C$35)</f>
        <v>0.71622695922851598</v>
      </c>
      <c r="D52" s="4">
        <f>ABS((D$35-D15)/D$35)</f>
        <v>0</v>
      </c>
      <c r="E52" s="4">
        <f>ABS((E$35-E15)/E$35)</f>
        <v>0.61815680066744505</v>
      </c>
      <c r="F52" s="4">
        <f>ABS((F$35-F15)/F$35)</f>
        <v>0.41644199192524001</v>
      </c>
      <c r="G52" s="4">
        <f>ABS((G$35-G15)/G$35)</f>
        <v>0.38460123538971003</v>
      </c>
      <c r="H52" s="4">
        <f>ABS((H$35-H15)/H$35)</f>
        <v>0.37462523579597506</v>
      </c>
      <c r="I52" s="4">
        <f>ABS((I$35-I15)/I$35)</f>
        <v>1.7849903702735872</v>
      </c>
      <c r="J52" s="4">
        <f>ABS((J$35-J15)/J$35)</f>
        <v>0.88524454832076238</v>
      </c>
      <c r="K52" s="4">
        <f>ABS((K$35-K15)/K$35)</f>
        <v>0.23021394014358126</v>
      </c>
      <c r="L52" s="4">
        <f>ABS((L$35-L15)/L$35)</f>
        <v>0.46075126528740001</v>
      </c>
      <c r="M52" s="4">
        <f>ABS((M$35-M15)/M$35)</f>
        <v>0.73348500331242994</v>
      </c>
      <c r="N52" s="4">
        <f>ABS((N$35-N15)/N$35)</f>
        <v>0</v>
      </c>
      <c r="O52" s="4">
        <f>ABS((O$35-O15)/O$35)</f>
        <v>0.68223781585693222</v>
      </c>
      <c r="P52" s="4">
        <f>ABS((P$35-P15)/P$35)</f>
        <v>0.1850833892822259</v>
      </c>
      <c r="Q52" s="4">
        <f>ABS((Q$35-Q15)/Q$35)</f>
        <v>0.54639191627502504</v>
      </c>
      <c r="R52" s="4">
        <f>ABS((R$35-R15)/R$35)</f>
        <v>0.42223536968231001</v>
      </c>
      <c r="S52" s="4">
        <f>ABS((S$35-S15)/S$35)</f>
        <v>0.39005887508392001</v>
      </c>
      <c r="T52" s="4">
        <f>ABS((T$35-T15)/T$35)</f>
        <v>0.30938369035720903</v>
      </c>
      <c r="U52" s="4">
        <f>ABS((U$35-U15)/U$35)</f>
        <v>1.0348458178341389</v>
      </c>
      <c r="V52" s="4">
        <f>ABS((V$35-V15)/V$35)</f>
        <v>0.23935282230377197</v>
      </c>
      <c r="W52" s="4">
        <f>ABS((W$35-W15)/W$35)</f>
        <v>0.87446464101473509</v>
      </c>
      <c r="X52" s="4">
        <f>ABS((X$35-X15)/X$35)</f>
        <v>0</v>
      </c>
      <c r="Y52" s="4">
        <f>ABS((Y$35-Y15)/Y$35)</f>
        <v>0.48266911506652871</v>
      </c>
      <c r="Z52" s="4">
        <f>ABS((Z$35-Z15)/Z$35)</f>
        <v>1.6916000843047998</v>
      </c>
      <c r="AA52" s="4">
        <f>ABS((AA$35-AA15)/AA$35)</f>
        <v>0.21623201370239303</v>
      </c>
      <c r="AB52" s="4">
        <f>ABS((AB$35-AB15)/AB$35)</f>
        <v>3.1983363628387451</v>
      </c>
      <c r="AC52" s="4">
        <f>ABS((AC$35-AC15)/AC$35)</f>
        <v>1.6366291046142551</v>
      </c>
      <c r="AD52" s="4">
        <f>ABS((AD$35-AD15)/AD$35)</f>
        <v>1.486890345811843</v>
      </c>
      <c r="AE52" s="4">
        <f>ABS((AE$35-AE15)/AE$35)</f>
        <v>0.25006765127182495</v>
      </c>
      <c r="AF52" s="4">
        <f>ABS((AF$35-AF15)/AF$35)</f>
        <v>0.38644993305206254</v>
      </c>
      <c r="AG52" s="15">
        <f t="shared" si="32"/>
        <v>0.71115175562876132</v>
      </c>
      <c r="AH52" s="15">
        <f t="shared" si="33"/>
        <v>0.76435801106286549</v>
      </c>
      <c r="AI52" s="6">
        <f>B15</f>
        <v>0.53425538539886397</v>
      </c>
    </row>
    <row r="53" spans="1:35" x14ac:dyDescent="0.35">
      <c r="A53" t="str">
        <f>A16</f>
        <v>Model_320</v>
      </c>
      <c r="B53" s="1" t="s">
        <v>153</v>
      </c>
      <c r="C53" s="4">
        <f>ABS((C$35-C16)/C$35)</f>
        <v>4.3115520477294035E-2</v>
      </c>
      <c r="D53" s="4">
        <f>ABS((D$35-D16)/D$35)</f>
        <v>0</v>
      </c>
      <c r="E53" s="4">
        <f>ABS((E$35-E16)/E$35)</f>
        <v>0.32067612806955997</v>
      </c>
      <c r="F53" s="4">
        <f>ABS((F$35-F16)/F$35)</f>
        <v>0.60839491337537999</v>
      </c>
      <c r="G53" s="4">
        <f>ABS((G$35-G16)/G$35)</f>
        <v>0.24945276975631747</v>
      </c>
      <c r="H53" s="4">
        <f>ABS((H$35-H16)/H$35)</f>
        <v>1.6968404352664939</v>
      </c>
      <c r="I53" s="4">
        <f>ABS((I$35-I16)/I$35)</f>
        <v>2.491394519805906</v>
      </c>
      <c r="J53" s="4">
        <f>ABS((J$35-J16)/J$35)</f>
        <v>0.42314371466636752</v>
      </c>
      <c r="K53" s="4">
        <f>ABS((K$35-K16)/K$35)</f>
        <v>0.73850889131426811</v>
      </c>
      <c r="L53" s="4">
        <f>ABS((L$35-L16)/L$35)</f>
        <v>0.93956158868968498</v>
      </c>
      <c r="M53" s="4">
        <f>ABS((M$35-M16)/M$35)</f>
        <v>1.047005201379458</v>
      </c>
      <c r="N53" s="4">
        <f>ABS((N$35-N16)/N$35)</f>
        <v>0</v>
      </c>
      <c r="O53" s="4">
        <f>ABS((O$35-O16)/O$35)</f>
        <v>0.95087861716747324</v>
      </c>
      <c r="P53" s="4">
        <f>ABS((P$35-P16)/P$35)</f>
        <v>0.78478072583675407</v>
      </c>
      <c r="Q53" s="4">
        <f>ABS((Q$35-Q16)/Q$35)</f>
        <v>0.99578430764377113</v>
      </c>
      <c r="R53" s="4">
        <f>ABS((R$35-R16)/R$35)</f>
        <v>0.82934223115444206</v>
      </c>
      <c r="S53" s="4">
        <f>ABS((S$35-S16)/S$35)</f>
        <v>1.0831377133727069</v>
      </c>
      <c r="T53" s="4">
        <f>ABS((T$35-T16)/T$35)</f>
        <v>0.52291467785835299</v>
      </c>
      <c r="U53" s="4">
        <f>ABS((U$35-U16)/U$35)</f>
        <v>1.1478311866521835</v>
      </c>
      <c r="V53" s="4">
        <f>ABS((V$35-V16)/V$35)</f>
        <v>1.353234469890594</v>
      </c>
      <c r="W53" s="4">
        <f>ABS((W$35-W16)/W$35)</f>
        <v>2.3462727864583335</v>
      </c>
      <c r="X53" s="4">
        <f>ABS((X$35-X16)/X$35)</f>
        <v>0</v>
      </c>
      <c r="Y53" s="4">
        <f>ABS((Y$35-Y16)/Y$35)</f>
        <v>0.74849583705266332</v>
      </c>
      <c r="Z53" s="4">
        <f>ABS((Z$35-Z16)/Z$35)</f>
        <v>12.116920471191399</v>
      </c>
      <c r="AA53" s="4">
        <f>ABS((AA$35-AA16)/AA$35)</f>
        <v>1.0624384105205535</v>
      </c>
      <c r="AB53" s="4">
        <f>ABS((AB$35-AB16)/AB$35)</f>
        <v>4.0014762878417951</v>
      </c>
      <c r="AC53" s="4">
        <f>ABS((AC$35-AC16)/AC$35)</f>
        <v>2.3257354497909501</v>
      </c>
      <c r="AD53" s="4">
        <f>ABS((AD$35-AD16)/AD$35)</f>
        <v>5.0189189910888601</v>
      </c>
      <c r="AE53" s="4">
        <f>ABS((AE$35-AE16)/AE$35)</f>
        <v>1.6333565711975049</v>
      </c>
      <c r="AF53" s="4">
        <f>ABS((AF$35-AF16)/AF$35)</f>
        <v>0.28023171424865501</v>
      </c>
      <c r="AG53" s="15">
        <f t="shared" si="32"/>
        <v>2.1073933556675906</v>
      </c>
      <c r="AH53" s="15">
        <f t="shared" si="33"/>
        <v>1.694809041917323</v>
      </c>
      <c r="AI53" s="6">
        <f>B16</f>
        <v>0.522241830825805</v>
      </c>
    </row>
    <row r="54" spans="1:35" x14ac:dyDescent="0.35">
      <c r="A54" t="str">
        <f>A17</f>
        <v>Model_326</v>
      </c>
      <c r="B54" s="1" t="s">
        <v>153</v>
      </c>
      <c r="C54" s="4">
        <f>ABS((C$35-C17)/C$35)</f>
        <v>0.93304896354675293</v>
      </c>
      <c r="D54" s="4">
        <f>ABS((D$35-D17)/D$35)</f>
        <v>0</v>
      </c>
      <c r="E54" s="4">
        <f>ABS((E$35-E17)/E$35)</f>
        <v>0.82680338124434172</v>
      </c>
      <c r="F54" s="4">
        <f>ABS((F$35-F17)/F$35)</f>
        <v>0.21705621480941739</v>
      </c>
      <c r="G54" s="4">
        <f>ABS((G$35-G17)/G$35)</f>
        <v>0.63206607103347867</v>
      </c>
      <c r="H54" s="4">
        <f>ABS((H$35-H17)/H$35)</f>
        <v>0.26116287708282504</v>
      </c>
      <c r="I54" s="4">
        <f>ABS((I$35-I17)/I$35)</f>
        <v>0.86050727963447482</v>
      </c>
      <c r="J54" s="4">
        <f>ABS((J$35-J17)/J$35)</f>
        <v>0.57354482263326756</v>
      </c>
      <c r="K54" s="4">
        <f>ABS((K$35-K17)/K$35)</f>
        <v>0.38392631709575692</v>
      </c>
      <c r="L54" s="4">
        <f>ABS((L$35-L17)/L$35)</f>
        <v>0.68465298414230624</v>
      </c>
      <c r="M54" s="4">
        <f>ABS((M$35-M17)/M$35)</f>
        <v>0.62489493687947506</v>
      </c>
      <c r="N54" s="4">
        <f>ABS((N$35-N17)/N$35)</f>
        <v>0</v>
      </c>
      <c r="O54" s="4">
        <f>ABS((O$35-O17)/O$35)</f>
        <v>0.56476349830627603</v>
      </c>
      <c r="P54" s="4">
        <f>ABS((P$35-P17)/P$35)</f>
        <v>0.98564183712005593</v>
      </c>
      <c r="Q54" s="4">
        <f>ABS((Q$35-Q17)/Q$35)</f>
        <v>0.33182454109191906</v>
      </c>
      <c r="R54" s="4">
        <f>ABS((R$35-R17)/R$35)</f>
        <v>4.3381550312042201</v>
      </c>
      <c r="S54" s="4">
        <f>ABS((S$35-S17)/S$35)</f>
        <v>2.0426568984985352</v>
      </c>
      <c r="T54" s="4">
        <f>ABS((T$35-T17)/T$35)</f>
        <v>0.38930416107177002</v>
      </c>
      <c r="U54" s="4">
        <f>ABS((U$35-U17)/U$35)</f>
        <v>0.44903725385666005</v>
      </c>
      <c r="V54" s="4">
        <f>ABS((V$35-V17)/V$35)</f>
        <v>3.9718201160430899</v>
      </c>
      <c r="W54" s="4">
        <f>ABS((W$35-W17)/W$35)</f>
        <v>1.0306651840607326</v>
      </c>
      <c r="X54" s="4">
        <f>ABS((X$35-X17)/X$35)</f>
        <v>0</v>
      </c>
      <c r="Y54" s="4">
        <f>ABS((Y$35-Y17)/Y$35)</f>
        <v>0.11880421638489332</v>
      </c>
      <c r="Z54" s="4">
        <f>ABS((Z$35-Z17)/Z$35)</f>
        <v>2.5898585319518999</v>
      </c>
      <c r="AA54" s="4">
        <f>ABS((AA$35-AA17)/AA$35)</f>
        <v>0.97059993743896489</v>
      </c>
      <c r="AB54" s="4">
        <f>ABS((AB$35-AB17)/AB$35)</f>
        <v>1.0772247239947315</v>
      </c>
      <c r="AC54" s="4">
        <f>ABS((AC$35-AC17)/AC$35)</f>
        <v>0.60701224207878157</v>
      </c>
      <c r="AD54" s="4">
        <f>ABS((AD$35-AD17)/AD$35)</f>
        <v>3.9186928272247301</v>
      </c>
      <c r="AE54" s="4">
        <f>ABS((AE$35-AE17)/AE$35)</f>
        <v>0.49049592018126997</v>
      </c>
      <c r="AF54" s="4">
        <f>ABS((AF$35-AF17)/AF$35)</f>
        <v>0.28735232353210505</v>
      </c>
      <c r="AG54" s="15">
        <f t="shared" si="32"/>
        <v>0.87683741825598271</v>
      </c>
      <c r="AH54" s="15">
        <f t="shared" si="33"/>
        <v>1.1170952997089902</v>
      </c>
      <c r="AI54" s="6">
        <f>B17</f>
        <v>0.52516829967498702</v>
      </c>
    </row>
    <row r="55" spans="1:35" x14ac:dyDescent="0.35">
      <c r="A55" t="str">
        <f>A18</f>
        <v>Model_369</v>
      </c>
      <c r="B55" s="1" t="s">
        <v>153</v>
      </c>
      <c r="C55" s="4">
        <f>ABS((C$35-C18)/C$35)</f>
        <v>0.88175064325332664</v>
      </c>
      <c r="D55" s="4">
        <f>ABS((D$35-D18)/D$35)</f>
        <v>0</v>
      </c>
      <c r="E55" s="4">
        <f>ABS((E$35-E18)/E$35)</f>
        <v>0.77187119424343165</v>
      </c>
      <c r="F55" s="4">
        <f>ABS((F$35-F18)/F$35)</f>
        <v>4.9454256892205034E-2</v>
      </c>
      <c r="G55" s="4">
        <f>ABS((G$35-G18)/G$35)</f>
        <v>0.98085654713213455</v>
      </c>
      <c r="H55" s="4">
        <f>ABS((H$35-H18)/H$35)</f>
        <v>0.86740892753005061</v>
      </c>
      <c r="I55" s="4">
        <f>ABS((I$35-I18)/I$35)</f>
        <v>0.92890436667949006</v>
      </c>
      <c r="J55" s="4">
        <f>ABS((J$35-J18)/J$35)</f>
        <v>4.169876337051388</v>
      </c>
      <c r="K55" s="4">
        <f>ABS((K$35-K18)/K$35)</f>
        <v>0.58535420894622492</v>
      </c>
      <c r="L55" s="4">
        <f>ABS((L$35-L18)/L$35)</f>
        <v>0.57085203379392813</v>
      </c>
      <c r="M55" s="4">
        <f>ABS((M$35-M18)/M$35)</f>
        <v>7.8670660654703337E-2</v>
      </c>
      <c r="N55" s="4">
        <f>ABS((N$35-N18)/N$35)</f>
        <v>0</v>
      </c>
      <c r="O55" s="4">
        <f>ABS((O$35-O18)/O$35)</f>
        <v>1.4317752838134759</v>
      </c>
      <c r="P55" s="4">
        <f>ABS((P$35-P18)/P$35)</f>
        <v>3.5269796848298007E-2</v>
      </c>
      <c r="Q55" s="4">
        <f>ABS((Q$35-Q18)/Q$35)</f>
        <v>0.93035107851028442</v>
      </c>
      <c r="R55" s="4">
        <f>ABS((R$35-R18)/R$35)</f>
        <v>0.50500816106796298</v>
      </c>
      <c r="S55" s="4">
        <f>ABS((S$35-S18)/S$35)</f>
        <v>1.5898401141166651</v>
      </c>
      <c r="T55" s="4">
        <f>ABS((T$35-T18)/T$35)</f>
        <v>2.6240588426589899</v>
      </c>
      <c r="U55" s="4">
        <f>ABS((U$35-U18)/U$35)</f>
        <v>0.82263088226318404</v>
      </c>
      <c r="V55" s="4">
        <f>ABS((V$35-V18)/V$35)</f>
        <v>2.3517582416534397</v>
      </c>
      <c r="W55" s="4">
        <f>ABS((W$35-W18)/W$35)</f>
        <v>1.1321971913178761</v>
      </c>
      <c r="X55" s="4">
        <f>ABS((X$35-X18)/X$35)</f>
        <v>0</v>
      </c>
      <c r="Y55" s="4">
        <f>ABS((Y$35-Y18)/Y$35)</f>
        <v>0.6960519154866539</v>
      </c>
      <c r="Z55" s="4">
        <f>ABS((Z$35-Z18)/Z$35)</f>
        <v>1.2227191925048801</v>
      </c>
      <c r="AA55" s="4">
        <f>ABS((AA$35-AA18)/AA$35)</f>
        <v>0.38514690399170004</v>
      </c>
      <c r="AB55" s="4">
        <f>ABS((AB$35-AB18)/AB$35)</f>
        <v>1.6902881860733001</v>
      </c>
      <c r="AC55" s="4">
        <f>ABS((AC$35-AC18)/AC$35)</f>
        <v>1.9716951847076398</v>
      </c>
      <c r="AD55" s="4">
        <f>ABS((AD$35-AD18)/AD$35)</f>
        <v>3.3390097618103001</v>
      </c>
      <c r="AE55" s="4">
        <f>ABS((AE$35-AE18)/AE$35)</f>
        <v>1.2009544372558549</v>
      </c>
      <c r="AF55" s="4">
        <f>ABS((AF$35-AF18)/AF$35)</f>
        <v>0.18821394443511741</v>
      </c>
      <c r="AG55" s="15">
        <f t="shared" si="32"/>
        <v>0.69997334833498348</v>
      </c>
      <c r="AH55" s="15">
        <f t="shared" si="33"/>
        <v>1.1852580849886112</v>
      </c>
      <c r="AI55" s="6">
        <f>B18</f>
        <v>0.52146756649017301</v>
      </c>
    </row>
    <row r="56" spans="1:35" x14ac:dyDescent="0.35">
      <c r="A56" t="str">
        <f>A19</f>
        <v>Model_376</v>
      </c>
      <c r="B56" s="1" t="s">
        <v>153</v>
      </c>
      <c r="C56" s="4">
        <f>ABS((C$35-C19)/C$35)</f>
        <v>1.494562292098998</v>
      </c>
      <c r="D56" s="4">
        <f>ABS((D$35-D19)/D$35)</f>
        <v>0</v>
      </c>
      <c r="E56" s="4">
        <f>ABS((E$35-E19)/E$35)</f>
        <v>7.0871055126183385E-2</v>
      </c>
      <c r="F56" s="4">
        <f>ABS((F$35-F19)/F$35)</f>
        <v>6.0951203107832419E-2</v>
      </c>
      <c r="G56" s="4">
        <f>ABS((G$35-G19)/G$35)</f>
        <v>0.83119279146194502</v>
      </c>
      <c r="H56" s="4">
        <f>ABS((H$35-H19)/H$35)</f>
        <v>1.8882997184991812</v>
      </c>
      <c r="I56" s="4">
        <f>ABS((I$35-I19)/I$35)</f>
        <v>1.848835781216619</v>
      </c>
      <c r="J56" s="4">
        <f>ABS((J$35-J19)/J$35)</f>
        <v>1.39096500724554</v>
      </c>
      <c r="K56" s="4">
        <f>ABS((K$35-K19)/K$35)</f>
        <v>0.66066904366016443</v>
      </c>
      <c r="L56" s="4">
        <f>ABS((L$35-L19)/L$35)</f>
        <v>0.98635826981626451</v>
      </c>
      <c r="M56" s="4">
        <f>ABS((M$35-M19)/M$35)</f>
        <v>0.27708538373311492</v>
      </c>
      <c r="N56" s="4">
        <f>ABS((N$35-N19)/N$35)</f>
        <v>0</v>
      </c>
      <c r="O56" s="4">
        <f>ABS((O$35-O19)/O$35)</f>
        <v>0.238154792785648</v>
      </c>
      <c r="P56" s="4">
        <f>ABS((P$35-P19)/P$35)</f>
        <v>3.9405865669250399</v>
      </c>
      <c r="Q56" s="4">
        <f>ABS((Q$35-Q19)/Q$35)</f>
        <v>0.96128311157225999</v>
      </c>
      <c r="R56" s="4">
        <f>ABS((R$35-R19)/R$35)</f>
        <v>2.34130835533142</v>
      </c>
      <c r="S56" s="4">
        <f>ABS((S$35-S19)/S$35)</f>
        <v>0.738173007965085</v>
      </c>
      <c r="T56" s="4">
        <f>ABS((T$35-T19)/T$35)</f>
        <v>2.4114403724670401</v>
      </c>
      <c r="U56" s="4">
        <f>ABS((U$35-U19)/U$35)</f>
        <v>1.757088184356685</v>
      </c>
      <c r="V56" s="4">
        <f>ABS((V$35-V19)/V$35)</f>
        <v>7.9296441078186</v>
      </c>
      <c r="W56" s="4">
        <f>ABS((W$35-W19)/W$35)</f>
        <v>1.0232808515429497</v>
      </c>
      <c r="X56" s="4">
        <f>ABS((X$35-X19)/X$35)</f>
        <v>0</v>
      </c>
      <c r="Y56" s="4">
        <f>ABS((Y$35-Y19)/Y$35)</f>
        <v>0.96528938909371698</v>
      </c>
      <c r="Z56" s="4">
        <f>ABS((Z$35-Z19)/Z$35)</f>
        <v>0.87369330227375042</v>
      </c>
      <c r="AA56" s="4">
        <f>ABS((AA$35-AA19)/AA$35)</f>
        <v>0.95022542774677277</v>
      </c>
      <c r="AB56" s="4">
        <f>ABS((AB$35-AB19)/AB$35)</f>
        <v>1.3269459903240199</v>
      </c>
      <c r="AC56" s="4">
        <f>ABS((AC$35-AC19)/AC$35)</f>
        <v>1.2452491819858551</v>
      </c>
      <c r="AD56" s="4">
        <f>ABS((AD$35-AD19)/AD$35)</f>
        <v>1.0807528048753738</v>
      </c>
      <c r="AE56" s="4">
        <f>ABS((AE$35-AE19)/AE$35)</f>
        <v>1.0768797993659971</v>
      </c>
      <c r="AF56" s="4">
        <f>ABS((AF$35-AF19)/AF$35)</f>
        <v>1.0325999371707437</v>
      </c>
      <c r="AG56" s="15">
        <f t="shared" si="32"/>
        <v>0.99383053740969252</v>
      </c>
      <c r="AH56" s="15">
        <f t="shared" si="33"/>
        <v>1.4593476196135853</v>
      </c>
      <c r="AI56" s="6">
        <f>B19</f>
        <v>0.56329250335693304</v>
      </c>
    </row>
    <row r="57" spans="1:35" x14ac:dyDescent="0.35">
      <c r="A57" t="str">
        <f>A20</f>
        <v>Model_394</v>
      </c>
      <c r="B57" s="1" t="s">
        <v>153</v>
      </c>
      <c r="C57" s="4">
        <f>ABS((C$35-C20)/C$35)</f>
        <v>0.84289609193801884</v>
      </c>
      <c r="D57" s="4">
        <f>ABS((D$35-D20)/D$35)</f>
        <v>0</v>
      </c>
      <c r="E57" s="4">
        <f>ABS((E$35-E20)/E$35)</f>
        <v>0.82876013964414674</v>
      </c>
      <c r="F57" s="4">
        <f>ABS((F$35-F20)/F$35)</f>
        <v>0.32274851202964749</v>
      </c>
      <c r="G57" s="4">
        <f>ABS((G$35-G20)/G$35)</f>
        <v>0.90719670802354813</v>
      </c>
      <c r="H57" s="4">
        <f>ABS((H$35-H20)/H$35)</f>
        <v>0.54488363116979632</v>
      </c>
      <c r="I57" s="4">
        <f>ABS((I$35-I20)/I$35)</f>
        <v>0.59783971309661876</v>
      </c>
      <c r="J57" s="4">
        <f>ABS((J$35-J20)/J$35)</f>
        <v>1.2358459867537013</v>
      </c>
      <c r="K57" s="4">
        <f>ABS((K$35-K20)/K$35)</f>
        <v>0.12443734705448753</v>
      </c>
      <c r="L57" s="4">
        <f>ABS((L$35-L20)/L$35)</f>
        <v>0.5538976415991812</v>
      </c>
      <c r="M57" s="4">
        <f>ABS((M$35-M20)/M$35)</f>
        <v>0.75266283750534158</v>
      </c>
      <c r="N57" s="4">
        <f>ABS((N$35-N20)/N$35)</f>
        <v>0</v>
      </c>
      <c r="O57" s="4">
        <f>ABS((O$35-O20)/O$35)</f>
        <v>0.59746665954589595</v>
      </c>
      <c r="P57" s="4">
        <f>ABS((P$35-P20)/P$35)</f>
        <v>11.799221038818359</v>
      </c>
      <c r="Q57" s="4">
        <f>ABS((Q$35-Q20)/Q$35)</f>
        <v>0.80649986267089901</v>
      </c>
      <c r="R57" s="4">
        <f>ABS((R$35-R20)/R$35)</f>
        <v>2.4629280567169149</v>
      </c>
      <c r="S57" s="4">
        <f>ABS((S$35-S20)/S$35)</f>
        <v>1.2287855148319982E-2</v>
      </c>
      <c r="T57" s="4">
        <f>ABS((T$35-T20)/T$35)</f>
        <v>1.9350364804267879</v>
      </c>
      <c r="U57" s="4">
        <f>ABS((U$35-U20)/U$35)</f>
        <v>0.30678319931030007</v>
      </c>
      <c r="V57" s="4">
        <f>ABS((V$35-V20)/V$35)</f>
        <v>6.1164178848266602</v>
      </c>
      <c r="W57" s="4">
        <f>ABS((W$35-W20)/W$35)</f>
        <v>0.39188226064046167</v>
      </c>
      <c r="X57" s="4">
        <f>ABS((X$35-X20)/X$35)</f>
        <v>0</v>
      </c>
      <c r="Y57" s="4">
        <f>ABS((Y$35-Y20)/Y$35)</f>
        <v>0.21582102775573997</v>
      </c>
      <c r="Z57" s="4">
        <f>ABS((Z$35-Z20)/Z$35)</f>
        <v>0.74092948436736994</v>
      </c>
      <c r="AA57" s="4">
        <f>ABS((AA$35-AA20)/AA$35)</f>
        <v>7.7844429016113992E-2</v>
      </c>
      <c r="AB57" s="4">
        <f>ABS((AB$35-AB20)/AB$35)</f>
        <v>1.9086982011795</v>
      </c>
      <c r="AC57" s="4">
        <f>ABS((AC$35-AC20)/AC$35)</f>
        <v>2.8322460651397701</v>
      </c>
      <c r="AD57" s="4">
        <f>ABS((AD$35-AD20)/AD$35)</f>
        <v>2.53546035289764</v>
      </c>
      <c r="AE57" s="4">
        <f>ABS((AE$35-AE20)/AE$35)</f>
        <v>1.2259507626295085</v>
      </c>
      <c r="AF57" s="4">
        <f>ABS((AF$35-AF20)/AF$35)</f>
        <v>0.65902578830718994</v>
      </c>
      <c r="AG57" s="15">
        <f t="shared" si="32"/>
        <v>1.8324875613605534</v>
      </c>
      <c r="AH57" s="15">
        <f t="shared" si="33"/>
        <v>1.5309506673411821</v>
      </c>
      <c r="AI57" s="6">
        <f>B20</f>
        <v>0.52724498510360696</v>
      </c>
    </row>
    <row r="58" spans="1:35" x14ac:dyDescent="0.35">
      <c r="A58" t="str">
        <f>A21</f>
        <v>Model_410</v>
      </c>
      <c r="B58" s="1" t="s">
        <v>153</v>
      </c>
      <c r="C58" s="4">
        <f>ABS((C$35-C21)/C$35)</f>
        <v>1.009120986610651</v>
      </c>
      <c r="D58" s="4">
        <f>ABS((D$35-D21)/D$35)</f>
        <v>0</v>
      </c>
      <c r="E58" s="4">
        <f>ABS((E$35-E21)/E$35)</f>
        <v>0.57132935523986839</v>
      </c>
      <c r="F58" s="4">
        <f>ABS((F$35-F21)/F$35)</f>
        <v>0.68541834503412247</v>
      </c>
      <c r="G58" s="4">
        <f>ABS((G$35-G21)/G$35)</f>
        <v>0.78918619453907124</v>
      </c>
      <c r="H58" s="4">
        <f>ABS((H$35-H21)/H$35)</f>
        <v>1.6277399510145187</v>
      </c>
      <c r="I58" s="4">
        <f>ABS((I$35-I21)/I$35)</f>
        <v>1.1211559679359193</v>
      </c>
      <c r="J58" s="4">
        <f>ABS((J$35-J21)/J$35)</f>
        <v>3.0486441254615748</v>
      </c>
      <c r="K58" s="4">
        <f>ABS((K$35-K21)/K$35)</f>
        <v>0.70992967486381564</v>
      </c>
      <c r="L58" s="4">
        <f>ABS((L$35-L21)/L$35)</f>
        <v>0.47714276611805001</v>
      </c>
      <c r="M58" s="4">
        <f>ABS((M$35-M21)/M$35)</f>
        <v>0.10232416788736994</v>
      </c>
      <c r="N58" s="4">
        <f>ABS((N$35-N21)/N$35)</f>
        <v>0</v>
      </c>
      <c r="O58" s="4">
        <f>ABS((O$35-O21)/O$35)</f>
        <v>2.9620487213134759</v>
      </c>
      <c r="P58" s="4">
        <f>ABS((P$35-P21)/P$35)</f>
        <v>7.6486825942993004</v>
      </c>
      <c r="Q58" s="4">
        <f>ABS((Q$35-Q21)/Q$35)</f>
        <v>1.1073945879936209</v>
      </c>
      <c r="R58" s="4">
        <f>ABS((R$35-R21)/R$35)</f>
        <v>0.14861130714416504</v>
      </c>
      <c r="S58" s="4">
        <f>ABS((S$35-S21)/S$35)</f>
        <v>0.1171184778213501</v>
      </c>
      <c r="T58" s="4">
        <f>ABS((T$35-T21)/T$35)</f>
        <v>0.76737248897552002</v>
      </c>
      <c r="U58" s="4">
        <f>ABS((U$35-U21)/U$35)</f>
        <v>0.45198190212249489</v>
      </c>
      <c r="V58" s="4">
        <f>ABS((V$35-V21)/V$35)</f>
        <v>4.1177954673767001</v>
      </c>
      <c r="W58" s="4">
        <f>ABS((W$35-W21)/W$35)</f>
        <v>0.12350900967916001</v>
      </c>
      <c r="X58" s="4">
        <f>ABS((X$35-X21)/X$35)</f>
        <v>0</v>
      </c>
      <c r="Y58" s="4">
        <f>ABS((Y$35-Y21)/Y$35)</f>
        <v>0.56878213087717733</v>
      </c>
      <c r="Z58" s="4">
        <f>ABS((Z$35-Z21)/Z$35)</f>
        <v>0.45605146884918191</v>
      </c>
      <c r="AA58" s="4">
        <f>ABS((AA$35-AA21)/AA$35)</f>
        <v>0.53779234886169491</v>
      </c>
      <c r="AB58" s="4">
        <f>ABS((AB$35-AB21)/AB$35)</f>
        <v>1.52778661251068</v>
      </c>
      <c r="AC58" s="4">
        <f>ABS((AC$35-AC21)/AC$35)</f>
        <v>0.87723791599273504</v>
      </c>
      <c r="AD58" s="4">
        <f>ABS((AD$35-AD21)/AD$35)</f>
        <v>0.55342361330986101</v>
      </c>
      <c r="AE58" s="4">
        <f>ABS((AE$35-AE21)/AE$35)</f>
        <v>0.83775068819522902</v>
      </c>
      <c r="AF58" s="4">
        <f>ABS((AF$35-AF21)/AF$35)</f>
        <v>1.0682891607284546</v>
      </c>
      <c r="AG58" s="15">
        <f t="shared" si="32"/>
        <v>1.5696963088655898</v>
      </c>
      <c r="AH58" s="15">
        <f t="shared" si="33"/>
        <v>1.2597637048428061</v>
      </c>
      <c r="AI58" s="6">
        <f>B21</f>
        <v>0.54038292169570901</v>
      </c>
    </row>
    <row r="59" spans="1:35" x14ac:dyDescent="0.35">
      <c r="A59" t="str">
        <f>A22</f>
        <v>Model_435</v>
      </c>
      <c r="B59" s="1" t="s">
        <v>153</v>
      </c>
      <c r="C59" s="4">
        <f>ABS((C$35-C22)/C$35)</f>
        <v>1.079065704345703</v>
      </c>
      <c r="D59" s="4">
        <f>ABS((D$35-D22)/D$35)</f>
        <v>0</v>
      </c>
      <c r="E59" s="4">
        <f>ABS((E$35-E22)/E$35)</f>
        <v>0.38261027137438502</v>
      </c>
      <c r="F59" s="4">
        <f>ABS((F$35-F22)/F$35)</f>
        <v>1.4054725468158697</v>
      </c>
      <c r="G59" s="4">
        <f>ABS((G$35-G22)/G$35)</f>
        <v>0.2182160019874575</v>
      </c>
      <c r="H59" s="4">
        <f>ABS((H$35-H22)/H$35)</f>
        <v>1.1722233742475507</v>
      </c>
      <c r="I59" s="4">
        <f>ABS((I$35-I22)/I$35)</f>
        <v>1.545635700225825</v>
      </c>
      <c r="J59" s="4">
        <f>ABS((J$35-J22)/J$35)</f>
        <v>5.5027981996536255</v>
      </c>
      <c r="K59" s="4">
        <f>ABS((K$35-K22)/K$35)</f>
        <v>2.8649800419807367</v>
      </c>
      <c r="L59" s="4">
        <f>ABS((L$35-L22)/L$35)</f>
        <v>0.92712053656577809</v>
      </c>
      <c r="M59" s="4">
        <f>ABS((M$35-M22)/M$35)</f>
        <v>0.53404748439788829</v>
      </c>
      <c r="N59" s="4">
        <f>ABS((N$35-N22)/N$35)</f>
        <v>0</v>
      </c>
      <c r="O59" s="4">
        <f>ABS((O$35-O22)/O$35)</f>
        <v>0.67250783443450968</v>
      </c>
      <c r="P59" s="4">
        <f>ABS((P$35-P22)/P$35)</f>
        <v>3.0057849884033203</v>
      </c>
      <c r="Q59" s="4">
        <f>ABS((Q$35-Q22)/Q$35)</f>
        <v>0.97349559366703031</v>
      </c>
      <c r="R59" s="4">
        <f>ABS((R$35-R22)/R$35)</f>
        <v>1.124549016356468</v>
      </c>
      <c r="S59" s="4">
        <f>ABS((S$35-S22)/S$35)</f>
        <v>0.68106862902641296</v>
      </c>
      <c r="T59" s="4">
        <f>ABS((T$35-T22)/T$35)</f>
        <v>1.8453235030174251</v>
      </c>
      <c r="U59" s="4">
        <f>ABS((U$35-U22)/U$35)</f>
        <v>1.4988090991973875</v>
      </c>
      <c r="V59" s="4">
        <f>ABS((V$35-V22)/V$35)</f>
        <v>2.2682139873504603</v>
      </c>
      <c r="W59" s="4">
        <f>ABS((W$35-W22)/W$35)</f>
        <v>0.90278787414232908</v>
      </c>
      <c r="X59" s="4">
        <f>ABS((X$35-X22)/X$35)</f>
        <v>0</v>
      </c>
      <c r="Y59" s="4">
        <f>ABS((Y$35-Y22)/Y$35)</f>
        <v>8.5668404897059958E-2</v>
      </c>
      <c r="Z59" s="4">
        <f>ABS((Z$35-Z22)/Z$35)</f>
        <v>0.52706465125084001</v>
      </c>
      <c r="AA59" s="4">
        <f>ABS((AA$35-AA22)/AA$35)</f>
        <v>1.0913572072982789</v>
      </c>
      <c r="AB59" s="4">
        <f>ABS((AB$35-AB22)/AB$35)</f>
        <v>1.3712252676486965</v>
      </c>
      <c r="AC59" s="4">
        <f>ABS((AC$35-AC22)/AC$35)</f>
        <v>1.1979207694530485</v>
      </c>
      <c r="AD59" s="4">
        <f>ABS((AD$35-AD22)/AD$35)</f>
        <v>0.15900027751922008</v>
      </c>
      <c r="AE59" s="4">
        <f>ABS((AE$35-AE22)/AE$35)</f>
        <v>0.22250205278396995</v>
      </c>
      <c r="AF59" s="4">
        <f>ABS((AF$35-AF22)/AF$35)</f>
        <v>0.87608580291271221</v>
      </c>
      <c r="AG59" s="15">
        <f t="shared" si="32"/>
        <v>0.9550010844513227</v>
      </c>
      <c r="AH59" s="15">
        <f t="shared" si="33"/>
        <v>1.2642790674427404</v>
      </c>
      <c r="AI59" s="6">
        <f>B22</f>
        <v>0.53206717967987005</v>
      </c>
    </row>
    <row r="60" spans="1:35" x14ac:dyDescent="0.35">
      <c r="A60" t="str">
        <f>A23</f>
        <v>Model_440</v>
      </c>
      <c r="B60" s="1" t="s">
        <v>153</v>
      </c>
      <c r="C60" s="4">
        <f>ABS((C$35-C23)/C$35)</f>
        <v>0.729172635078432</v>
      </c>
      <c r="D60" s="4">
        <f>ABS((D$35-D23)/D$35)</f>
        <v>0</v>
      </c>
      <c r="E60" s="4">
        <f>ABS((E$35-E23)/E$35)</f>
        <v>0.71422920624415076</v>
      </c>
      <c r="F60" s="4">
        <f>ABS((F$35-F23)/F$35)</f>
        <v>0.65086527168750996</v>
      </c>
      <c r="G60" s="4">
        <f>ABS((G$35-G23)/G$35)</f>
        <v>1.0000947518128669</v>
      </c>
      <c r="H60" s="4">
        <f>ABS((H$35-H23)/H$35)</f>
        <v>0.91108486428856883</v>
      </c>
      <c r="I60" s="4">
        <f>ABS((I$35-I23)/I$35)</f>
        <v>0.86357630230486437</v>
      </c>
      <c r="J60" s="4">
        <f>ABS((J$35-J23)/J$35)</f>
        <v>1.2112572267651549</v>
      </c>
      <c r="K60" s="4">
        <f>ABS((K$35-K23)/K$35)</f>
        <v>0.19502861797810009</v>
      </c>
      <c r="L60" s="4">
        <f>ABS((L$35-L23)/L$35)</f>
        <v>0.93975839111954007</v>
      </c>
      <c r="M60" s="4">
        <f>ABS((M$35-M23)/M$35)</f>
        <v>1.0533898323774336</v>
      </c>
      <c r="N60" s="4">
        <f>ABS((N$35-N23)/N$35)</f>
        <v>0</v>
      </c>
      <c r="O60" s="4">
        <f>ABS((O$35-O23)/O$35)</f>
        <v>1.8727682113647439</v>
      </c>
      <c r="P60" s="4">
        <f>ABS((P$35-P23)/P$35)</f>
        <v>6.2145075798034597</v>
      </c>
      <c r="Q60" s="4">
        <f>ABS((Q$35-Q23)/Q$35)</f>
        <v>1.1012363433838069E-2</v>
      </c>
      <c r="R60" s="4">
        <f>ABS((R$35-R23)/R$35)</f>
        <v>3.0600929260253902</v>
      </c>
      <c r="S60" s="4">
        <f>ABS((S$35-S23)/S$35)</f>
        <v>4.0232243537902503</v>
      </c>
      <c r="T60" s="4">
        <f>ABS((T$35-T23)/T$35)</f>
        <v>3.3469266891479403</v>
      </c>
      <c r="U60" s="4">
        <f>ABS((U$35-U23)/U$35)</f>
        <v>3.0508944988250701</v>
      </c>
      <c r="V60" s="4">
        <f>ABS((V$35-V23)/V$35)</f>
        <v>4.6517524719238201</v>
      </c>
      <c r="W60" s="4">
        <f>ABS((W$35-W23)/W$35)</f>
        <v>0.46149174372355167</v>
      </c>
      <c r="X60" s="4">
        <f>ABS((X$35-X23)/X$35)</f>
        <v>0</v>
      </c>
      <c r="Y60" s="4">
        <f>ABS((Y$35-Y23)/Y$35)</f>
        <v>0.58559719721476267</v>
      </c>
      <c r="Z60" s="4">
        <f>ABS((Z$35-Z23)/Z$35)</f>
        <v>1.90565061569212</v>
      </c>
      <c r="AA60" s="4">
        <f>ABS((AA$35-AA23)/AA$35)</f>
        <v>0.59009947776794491</v>
      </c>
      <c r="AB60" s="4">
        <f>ABS((AB$35-AB23)/AB$35)</f>
        <v>2.23237824440002</v>
      </c>
      <c r="AC60" s="4">
        <f>ABS((AC$35-AC23)/AC$35)</f>
        <v>0.89430320262908491</v>
      </c>
      <c r="AD60" s="4">
        <f>ABS((AD$35-AD23)/AD$35)</f>
        <v>2.0451073646545401</v>
      </c>
      <c r="AE60" s="4">
        <f>ABS((AE$35-AE23)/AE$35)</f>
        <v>1.0703346729278551</v>
      </c>
      <c r="AF60" s="4">
        <f>ABS((AF$35-AF23)/AF$35)</f>
        <v>0.20986330509185747</v>
      </c>
      <c r="AG60" s="15">
        <f t="shared" si="32"/>
        <v>1.5764080325762404</v>
      </c>
      <c r="AH60" s="15">
        <f t="shared" si="33"/>
        <v>1.6479430377064022</v>
      </c>
      <c r="AI60" s="6">
        <f>B23</f>
        <v>0.53527051210403398</v>
      </c>
    </row>
    <row r="61" spans="1:35" x14ac:dyDescent="0.35">
      <c r="A61" t="str">
        <f>A24</f>
        <v>Model_472</v>
      </c>
      <c r="B61" s="1" t="s">
        <v>153</v>
      </c>
      <c r="C61" s="4">
        <f>ABS((C$35-C24)/C$35)</f>
        <v>1.0260115116834641</v>
      </c>
      <c r="D61" s="4">
        <f>ABS((D$35-D24)/D$35)</f>
        <v>0</v>
      </c>
      <c r="E61" s="4">
        <f>ABS((E$35-E24)/E$35)</f>
        <v>0.85960834970076916</v>
      </c>
      <c r="F61" s="4">
        <f>ABS((F$35-F24)/F$35)</f>
        <v>0.48664080351591255</v>
      </c>
      <c r="G61" s="4">
        <f>ABS((G$35-G24)/G$35)</f>
        <v>0.99387455359101295</v>
      </c>
      <c r="H61" s="4">
        <f>ABS((H$35-H24)/H$35)</f>
        <v>0.95453532319515944</v>
      </c>
      <c r="I61" s="4">
        <f>ABS((I$35-I24)/I$35)</f>
        <v>1.0127966061700135</v>
      </c>
      <c r="J61" s="4">
        <f>ABS((J$35-J24)/J$35)</f>
        <v>1.2010587975382798</v>
      </c>
      <c r="K61" s="4">
        <f>ABS((K$35-K24)/K$35)</f>
        <v>0.84758156351745184</v>
      </c>
      <c r="L61" s="4">
        <f>ABS((L$35-L24)/L$35)</f>
        <v>1.0798542331904171</v>
      </c>
      <c r="M61" s="4">
        <f>ABS((M$35-M24)/M$35)</f>
        <v>0.77548487981160008</v>
      </c>
      <c r="N61" s="4">
        <f>ABS((N$35-N24)/N$35)</f>
        <v>0</v>
      </c>
      <c r="O61" s="4">
        <f>ABS((O$35-O24)/O$35)</f>
        <v>0.93407402038574006</v>
      </c>
      <c r="P61" s="4">
        <f>ABS((P$35-P24)/P$35)</f>
        <v>8.0625305175781197</v>
      </c>
      <c r="Q61" s="4">
        <f>ABS((Q$35-Q24)/Q$35)</f>
        <v>1.105487275123596</v>
      </c>
      <c r="R61" s="4">
        <f>ABS((R$35-R24)/R$35)</f>
        <v>0.21888709068298495</v>
      </c>
      <c r="S61" s="4">
        <f>ABS((S$35-S24)/S$35)</f>
        <v>1.4016105830669399</v>
      </c>
      <c r="T61" s="4">
        <f>ABS((T$35-T24)/T$35)</f>
        <v>4.6259121894836399</v>
      </c>
      <c r="U61" s="4">
        <f>ABS((U$35-U24)/U$35)</f>
        <v>0.35289371013641502</v>
      </c>
      <c r="V61" s="4">
        <f>ABS((V$35-V24)/V$35)</f>
        <v>0.59763789176940008</v>
      </c>
      <c r="W61" s="4">
        <f>ABS((W$35-W24)/W$35)</f>
        <v>0.36585140228271334</v>
      </c>
      <c r="X61" s="4">
        <f>ABS((X$35-X24)/X$35)</f>
        <v>0</v>
      </c>
      <c r="Y61" s="4">
        <f>ABS((Y$35-Y24)/Y$35)</f>
        <v>0.43203341960906999</v>
      </c>
      <c r="Z61" s="4">
        <f>ABS((Z$35-Z24)/Z$35)</f>
        <v>0.18793332576751598</v>
      </c>
      <c r="AA61" s="4">
        <f>ABS((AA$35-AA24)/AA$35)</f>
        <v>0.26774616241455096</v>
      </c>
      <c r="AB61" s="4">
        <f>ABS((AB$35-AB24)/AB$35)</f>
        <v>2.1349041461944549</v>
      </c>
      <c r="AC61" s="4">
        <f>ABS((AC$35-AC24)/AC$35)</f>
        <v>2.6834948062896702</v>
      </c>
      <c r="AD61" s="4">
        <f>ABS((AD$35-AD24)/AD$35)</f>
        <v>0.91076348721981049</v>
      </c>
      <c r="AE61" s="4">
        <f>ABS((AE$35-AE24)/AE$35)</f>
        <v>0.92857521772384655</v>
      </c>
      <c r="AF61" s="4">
        <f>ABS((AF$35-AF24)/AF$35)</f>
        <v>0.96602441743016254</v>
      </c>
      <c r="AG61" s="15">
        <f t="shared" si="32"/>
        <v>1.4589075811483228</v>
      </c>
      <c r="AH61" s="15">
        <f t="shared" si="33"/>
        <v>1.3116224550026929</v>
      </c>
      <c r="AI61" s="6">
        <f>B24</f>
        <v>0.53878057003021196</v>
      </c>
    </row>
    <row r="62" spans="1:35" x14ac:dyDescent="0.35">
      <c r="A62" t="str">
        <f>A25</f>
        <v>Model_485</v>
      </c>
      <c r="B62" s="1" t="s">
        <v>153</v>
      </c>
      <c r="C62" s="4">
        <f>ABS((C$35-C25)/C$35)</f>
        <v>0.78062503337860201</v>
      </c>
      <c r="D62" s="4">
        <f>ABS((D$35-D25)/D$35)</f>
        <v>0</v>
      </c>
      <c r="E62" s="4">
        <f>ABS((E$35-E25)/E$35)</f>
        <v>0.45977538824081421</v>
      </c>
      <c r="F62" s="4">
        <f>ABS((F$35-F25)/F$35)</f>
        <v>0.56148281693458757</v>
      </c>
      <c r="G62" s="4">
        <f>ABS((G$35-G25)/G$35)</f>
        <v>0.99116785638034344</v>
      </c>
      <c r="H62" s="4">
        <f>ABS((H$35-H25)/H$35)</f>
        <v>1.14458330348134</v>
      </c>
      <c r="I62" s="4">
        <f>ABS((I$35-I25)/I$35)</f>
        <v>0.92233648896217379</v>
      </c>
      <c r="J62" s="4">
        <f>ABS((J$35-J25)/J$35)</f>
        <v>0.23594522476196242</v>
      </c>
      <c r="K62" s="4">
        <f>ABS((K$35-K25)/K$35)</f>
        <v>0.39654357731342321</v>
      </c>
      <c r="L62" s="4">
        <f>ABS((L$35-L25)/L$35)</f>
        <v>1.3094676136970518</v>
      </c>
      <c r="M62" s="4">
        <f>ABS((M$35-M25)/M$35)</f>
        <v>0.95093137522538518</v>
      </c>
      <c r="N62" s="4">
        <f>ABS((N$35-N25)/N$35)</f>
        <v>0</v>
      </c>
      <c r="O62" s="4">
        <f>ABS((O$35-O25)/O$35)</f>
        <v>0.66787624359130882</v>
      </c>
      <c r="P62" s="4">
        <f>ABS((P$35-P25)/P$35)</f>
        <v>4.48477506637572</v>
      </c>
      <c r="Q62" s="4">
        <f>ABS((Q$35-Q25)/Q$35)</f>
        <v>0.50811505317687999</v>
      </c>
      <c r="R62" s="4">
        <f>ABS((R$35-R25)/R$35)</f>
        <v>1.6253488063812251</v>
      </c>
      <c r="S62" s="4">
        <f>ABS((S$35-S25)/S$35)</f>
        <v>1.384225130081175</v>
      </c>
      <c r="T62" s="4">
        <f>ABS((T$35-T25)/T$35)</f>
        <v>0.1886293888092001</v>
      </c>
      <c r="U62" s="4">
        <f>ABS((U$35-U25)/U$35)</f>
        <v>1.2253560870885845</v>
      </c>
      <c r="V62" s="4">
        <f>ABS((V$35-V25)/V$35)</f>
        <v>7.9709351062774991E-2</v>
      </c>
      <c r="W62" s="4">
        <f>ABS((W$35-W25)/W$35)</f>
        <v>0.82252337535222508</v>
      </c>
      <c r="X62" s="4">
        <f>ABS((X$35-X25)/X$35)</f>
        <v>0</v>
      </c>
      <c r="Y62" s="4">
        <f>ABS((Y$35-Y25)/Y$35)</f>
        <v>0.43644404411315935</v>
      </c>
      <c r="Z62" s="4">
        <f>ABS((Z$35-Z25)/Z$35)</f>
        <v>4.1087865829465997E-2</v>
      </c>
      <c r="AA62" s="4">
        <f>ABS((AA$35-AA25)/AA$35)</f>
        <v>0.64750905036926309</v>
      </c>
      <c r="AB62" s="4">
        <f>ABS((AB$35-AB25)/AB$35)</f>
        <v>2.3994408845901449</v>
      </c>
      <c r="AC62" s="4">
        <f>ABS((AC$35-AC25)/AC$35)</f>
        <v>0.77509307861327992</v>
      </c>
      <c r="AD62" s="4">
        <f>ABS((AD$35-AD25)/AD$35)</f>
        <v>5.3369216918945304</v>
      </c>
      <c r="AE62" s="4">
        <f>ABS((AE$35-AE25)/AE$35)</f>
        <v>3.0055055618286097</v>
      </c>
      <c r="AF62" s="4">
        <f>ABS((AF$35-AF25)/AF$35)</f>
        <v>1.1412899494171125</v>
      </c>
      <c r="AG62" s="15">
        <f t="shared" si="32"/>
        <v>1.0228356898934741</v>
      </c>
      <c r="AH62" s="15">
        <f t="shared" si="33"/>
        <v>1.2045447891463088</v>
      </c>
      <c r="AI62" s="6">
        <f>B25</f>
        <v>0.52676928043365401</v>
      </c>
    </row>
    <row r="63" spans="1:35" x14ac:dyDescent="0.35">
      <c r="A63" t="str">
        <f>A26</f>
        <v>Model_487</v>
      </c>
      <c r="B63" s="1" t="s">
        <v>153</v>
      </c>
      <c r="C63" s="4">
        <f>ABS((C$35-C26)/C$35)</f>
        <v>0.62442908287048404</v>
      </c>
      <c r="D63" s="4">
        <f>ABS((D$35-D26)/D$35)</f>
        <v>0</v>
      </c>
      <c r="E63" s="4">
        <f>ABS((E$35-E26)/E$35)</f>
        <v>0.5754227538903558</v>
      </c>
      <c r="F63" s="4">
        <f>ABS((F$35-F26)/F$35)</f>
        <v>1.0276303589344022</v>
      </c>
      <c r="G63" s="4">
        <f>ABS((G$35-G26)/G$35)</f>
        <v>0.43931603431701749</v>
      </c>
      <c r="H63" s="4">
        <f>ABS((H$35-H26)/H$35)</f>
        <v>1.9118738025426811</v>
      </c>
      <c r="I63" s="4">
        <f>ABS((I$35-I26)/I$35)</f>
        <v>1.8654637932777376</v>
      </c>
      <c r="J63" s="4">
        <f>ABS((J$35-J26)/J$35)</f>
        <v>0.49928614497183749</v>
      </c>
      <c r="K63" s="4">
        <f>ABS((K$35-K26)/K$35)</f>
        <v>0.30823686718940618</v>
      </c>
      <c r="L63" s="4">
        <f>ABS((L$35-L26)/L$35)</f>
        <v>6.1589539051056241E-2</v>
      </c>
      <c r="M63" s="4">
        <f>ABS((M$35-M26)/M$35)</f>
        <v>0.36472058296203663</v>
      </c>
      <c r="N63" s="4">
        <f>ABS((N$35-N26)/N$35)</f>
        <v>0</v>
      </c>
      <c r="O63" s="4">
        <f>ABS((O$35-O26)/O$35)</f>
        <v>0.43613257408142403</v>
      </c>
      <c r="P63" s="4">
        <f>ABS((P$35-P26)/P$35)</f>
        <v>2.9439458847045801</v>
      </c>
      <c r="Q63" s="4">
        <f>ABS((Q$35-Q26)/Q$35)</f>
        <v>1.195667445659637</v>
      </c>
      <c r="R63" s="4">
        <f>ABS((R$35-R26)/R$35)</f>
        <v>2.4177598953247053</v>
      </c>
      <c r="S63" s="4">
        <f>ABS((S$35-S26)/S$35)</f>
        <v>0.23529732227325495</v>
      </c>
      <c r="T63" s="4">
        <f>ABS((T$35-T26)/T$35)</f>
        <v>1.9271110892295829</v>
      </c>
      <c r="U63" s="4">
        <f>ABS((U$35-U26)/U$35)</f>
        <v>0.9514593705534935</v>
      </c>
      <c r="V63" s="4">
        <f>ABS((V$35-V26)/V$35)</f>
        <v>2.5068027973175</v>
      </c>
      <c r="W63" s="4">
        <f>ABS((W$35-W26)/W$35)</f>
        <v>0.7400057315826416</v>
      </c>
      <c r="X63" s="4">
        <f>ABS((X$35-X26)/X$35)</f>
        <v>0</v>
      </c>
      <c r="Y63" s="4">
        <f>ABS((Y$35-Y26)/Y$35)</f>
        <v>0.65356099605560336</v>
      </c>
      <c r="Z63" s="4">
        <f>ABS((Z$35-Z26)/Z$35)</f>
        <v>0.3761904239654541</v>
      </c>
      <c r="AA63" s="4">
        <f>ABS((AA$35-AA26)/AA$35)</f>
        <v>0.80940468311309899</v>
      </c>
      <c r="AB63" s="4">
        <f>ABS((AB$35-AB26)/AB$35)</f>
        <v>1.8986765742301901</v>
      </c>
      <c r="AC63" s="4">
        <f>ABS((AC$35-AC26)/AC$35)</f>
        <v>0.51472464203834556</v>
      </c>
      <c r="AD63" s="4">
        <f>ABS((AD$35-AD26)/AD$35)</f>
        <v>1.5486834645271301</v>
      </c>
      <c r="AE63" s="4">
        <f>ABS((AE$35-AE26)/AE$35)</f>
        <v>1.3780301809310909</v>
      </c>
      <c r="AF63" s="4">
        <f>ABS((AF$35-AF26)/AF$35)</f>
        <v>0.8373353183269503</v>
      </c>
      <c r="AG63" s="15">
        <f t="shared" si="32"/>
        <v>0.86022648767188692</v>
      </c>
      <c r="AH63" s="15">
        <f t="shared" si="33"/>
        <v>1.0758799019970999</v>
      </c>
      <c r="AI63" s="6">
        <f>B26</f>
        <v>0.52544420957565297</v>
      </c>
    </row>
    <row r="64" spans="1:35" x14ac:dyDescent="0.35">
      <c r="A64" t="str">
        <f>A27</f>
        <v>Model_541</v>
      </c>
      <c r="B64" s="1" t="s">
        <v>153</v>
      </c>
      <c r="C64" s="4">
        <f>ABS((C$35-C27)/C$35)</f>
        <v>0.18287420272827007</v>
      </c>
      <c r="D64" s="4">
        <f>ABS((D$35-D27)/D$35)</f>
        <v>0</v>
      </c>
      <c r="E64" s="4">
        <f>ABS((E$35-E27)/E$35)</f>
        <v>0.28944940368334499</v>
      </c>
      <c r="F64" s="4">
        <f>ABS((F$35-F27)/F$35)</f>
        <v>9.3838706612587586E-2</v>
      </c>
      <c r="G64" s="4">
        <f>ABS((G$35-G27)/G$35)</f>
        <v>0.2837085723876962</v>
      </c>
      <c r="H64" s="4">
        <f>ABS((H$35-H27)/H$35)</f>
        <v>1.3829301148653024</v>
      </c>
      <c r="I64" s="4">
        <f>ABS((I$35-I27)/I$35)</f>
        <v>2.0554211139678937</v>
      </c>
      <c r="J64" s="4">
        <f>ABS((J$35-J27)/J$35)</f>
        <v>0.73193446174263999</v>
      </c>
      <c r="K64" s="4">
        <f>ABS((K$35-K27)/K$35)</f>
        <v>0.85005459748208567</v>
      </c>
      <c r="L64" s="4">
        <f>ABS((L$35-L27)/L$35)</f>
        <v>0.91638249717652809</v>
      </c>
      <c r="M64" s="4">
        <f>ABS((M$35-M27)/M$35)</f>
        <v>1.4103689193725499</v>
      </c>
      <c r="N64" s="4">
        <f>ABS((N$35-N27)/N$35)</f>
        <v>0</v>
      </c>
      <c r="O64" s="4">
        <f>ABS((O$35-O27)/O$35)</f>
        <v>3.4544658660887961E-2</v>
      </c>
      <c r="P64" s="4">
        <f>ABS((P$35-P27)/P$35)</f>
        <v>5.2589592933654599</v>
      </c>
      <c r="Q64" s="4">
        <f>ABS((Q$35-Q27)/Q$35)</f>
        <v>1.0685316443443298</v>
      </c>
      <c r="R64" s="4">
        <f>ABS((R$35-R27)/R$35)</f>
        <v>0.59036207199096502</v>
      </c>
      <c r="S64" s="4">
        <f>ABS((S$35-S27)/S$35)</f>
        <v>1.9811710119247401</v>
      </c>
      <c r="T64" s="4">
        <f>ABS((T$35-T27)/T$35)</f>
        <v>1.3494124412536599</v>
      </c>
      <c r="U64" s="4">
        <f>ABS((U$35-U27)/U$35)</f>
        <v>0.63668096065520996</v>
      </c>
      <c r="V64" s="4">
        <f>ABS((V$35-V27)/V$35)</f>
        <v>4.1577732563018799</v>
      </c>
      <c r="W64" s="4">
        <f>ABS((W$35-W27)/W$35)</f>
        <v>0.74764943122863825</v>
      </c>
      <c r="X64" s="4">
        <f>ABS((X$35-X27)/X$35)</f>
        <v>0</v>
      </c>
      <c r="Y64" s="4">
        <f>ABS((Y$35-Y27)/Y$35)</f>
        <v>0.67372719446818008</v>
      </c>
      <c r="Z64" s="4">
        <f>ABS((Z$35-Z27)/Z$35)</f>
        <v>7.9762172698974592</v>
      </c>
      <c r="AA64" s="4">
        <f>ABS((AA$35-AA27)/AA$35)</f>
        <v>0.59498353004455606</v>
      </c>
      <c r="AB64" s="4">
        <f>ABS((AB$35-AB27)/AB$35)</f>
        <v>3.6163558959960902</v>
      </c>
      <c r="AC64" s="4">
        <f>ABS((AC$35-AC27)/AC$35)</f>
        <v>3.5809206962585449</v>
      </c>
      <c r="AD64" s="4">
        <f>ABS((AD$35-AD27)/AD$35)</f>
        <v>5.4063653945922798</v>
      </c>
      <c r="AE64" s="4">
        <f>ABS((AE$35-AE27)/AE$35)</f>
        <v>0.86675727367401145</v>
      </c>
      <c r="AF64" s="4">
        <f>ABS((AF$35-AF27)/AF$35)</f>
        <v>0.10679841041564742</v>
      </c>
      <c r="AG64" s="15">
        <f t="shared" si="32"/>
        <v>1.8519587866685976</v>
      </c>
      <c r="AH64" s="15">
        <f t="shared" si="33"/>
        <v>1.7349693712996825</v>
      </c>
      <c r="AI64" s="6">
        <f>B27</f>
        <v>0.55621880292892401</v>
      </c>
    </row>
    <row r="65" spans="1:35" x14ac:dyDescent="0.35">
      <c r="A65" t="str">
        <f>A28</f>
        <v>Model_567</v>
      </c>
      <c r="B65" s="1" t="s">
        <v>153</v>
      </c>
      <c r="C65" s="4">
        <f>ABS((C$35-C28)/C$35)</f>
        <v>0.24314060211181801</v>
      </c>
      <c r="D65" s="4">
        <f>ABS((D$35-D28)/D$35)</f>
        <v>0</v>
      </c>
      <c r="E65" s="4">
        <f>ABS((E$35-E28)/E$35)</f>
        <v>0.45300100247065012</v>
      </c>
      <c r="F65" s="4">
        <f>ABS((F$35-F28)/F$35)</f>
        <v>2.6856371164321744</v>
      </c>
      <c r="G65" s="4">
        <f>ABS((G$35-G28)/G$35)</f>
        <v>0.1822708249092112</v>
      </c>
      <c r="H65" s="4">
        <f>ABS((H$35-H28)/H$35)</f>
        <v>2.1769831925630561</v>
      </c>
      <c r="I65" s="4">
        <f>ABS((I$35-I28)/I$35)</f>
        <v>3.0473049879074066</v>
      </c>
      <c r="J65" s="4">
        <f>ABS((J$35-J28)/J$35)</f>
        <v>9.3724980354308993</v>
      </c>
      <c r="K65" s="4">
        <f>ABS((K$35-K28)/K$35)</f>
        <v>5.9768524169921875</v>
      </c>
      <c r="L65" s="4">
        <f>ABS((L$35-L28)/L$35)</f>
        <v>2.8968160748481564</v>
      </c>
      <c r="M65" s="4">
        <f>ABS((M$35-M28)/M$35)</f>
        <v>0.83434750636418664</v>
      </c>
      <c r="N65" s="4">
        <f>ABS((N$35-N28)/N$35)</f>
        <v>0</v>
      </c>
      <c r="O65" s="4">
        <f>ABS((O$35-O28)/O$35)</f>
        <v>0.35856351852417195</v>
      </c>
      <c r="P65" s="4">
        <f>ABS((P$35-P28)/P$35)</f>
        <v>3.41210889816284</v>
      </c>
      <c r="Q65" s="4">
        <f>ABS((Q$35-Q28)/Q$35)</f>
        <v>1.1008077740669251</v>
      </c>
      <c r="R65" s="4">
        <f>ABS((R$35-R28)/R$35)</f>
        <v>1.6103090047836299</v>
      </c>
      <c r="S65" s="4">
        <f>ABS((S$35-S28)/S$35)</f>
        <v>0.47847378253937001</v>
      </c>
      <c r="T65" s="4">
        <f>ABS((T$35-T28)/T$35)</f>
        <v>1.122237652540206</v>
      </c>
      <c r="U65" s="4">
        <f>ABS((U$35-U28)/U$35)</f>
        <v>1.083290062844753</v>
      </c>
      <c r="V65" s="4">
        <f>ABS((V$35-V28)/V$35)</f>
        <v>1.2398281246423719</v>
      </c>
      <c r="W65" s="4">
        <f>ABS((W$35-W28)/W$35)</f>
        <v>0.9553876668214798</v>
      </c>
      <c r="X65" s="4">
        <f>ABS((X$35-X28)/X$35)</f>
        <v>0</v>
      </c>
      <c r="Y65" s="4">
        <f>ABS((Y$35-Y28)/Y$35)</f>
        <v>0.95248140891393029</v>
      </c>
      <c r="Z65" s="4">
        <f>ABS((Z$35-Z28)/Z$35)</f>
        <v>0.38825237751007202</v>
      </c>
      <c r="AA65" s="4">
        <f>ABS((AA$35-AA28)/AA$35)</f>
        <v>0.68675675392150892</v>
      </c>
      <c r="AB65" s="4">
        <f>ABS((AB$35-AB28)/AB$35)</f>
        <v>1.4846843481063841</v>
      </c>
      <c r="AC65" s="4">
        <f>ABS((AC$35-AC28)/AC$35)</f>
        <v>0.56991100311279008</v>
      </c>
      <c r="AD65" s="4">
        <f>ABS((AD$35-AD28)/AD$35)</f>
        <v>0.67381504178047202</v>
      </c>
      <c r="AE65" s="4">
        <f>ABS((AE$35-AE28)/AE$35)</f>
        <v>1.0894743204116819</v>
      </c>
      <c r="AF65" s="4">
        <f>ABS((AF$35-AF28)/AF$35)</f>
        <v>0.93485280871391296</v>
      </c>
      <c r="AG65" s="15">
        <f t="shared" si="32"/>
        <v>1.142546677479036</v>
      </c>
      <c r="AH65" s="15">
        <f t="shared" si="33"/>
        <v>1.7040772706454164</v>
      </c>
      <c r="AI65" s="6">
        <f>B28</f>
        <v>0.54344332218170099</v>
      </c>
    </row>
    <row r="66" spans="1:35" x14ac:dyDescent="0.35">
      <c r="A66" t="str">
        <f>A29</f>
        <v>Model_581</v>
      </c>
      <c r="B66" s="1" t="s">
        <v>153</v>
      </c>
      <c r="C66" s="4">
        <f>ABS((C$35-C29)/C$35)</f>
        <v>0.82262824773788457</v>
      </c>
      <c r="D66" s="4">
        <f>ABS((D$35-D29)/D$35)</f>
        <v>0</v>
      </c>
      <c r="E66" s="4">
        <f>ABS((E$35-E29)/E$35)</f>
        <v>0.41838483015696254</v>
      </c>
      <c r="F66" s="4">
        <f>ABS((F$35-F29)/F$35)</f>
        <v>0.87949836254119751</v>
      </c>
      <c r="G66" s="4">
        <f>ABS((G$35-G29)/G$35)</f>
        <v>0.91206777095794689</v>
      </c>
      <c r="H66" s="4">
        <f>ABS((H$35-H29)/H$35)</f>
        <v>0.69411626458168063</v>
      </c>
      <c r="I66" s="4">
        <f>ABS((I$35-I29)/I$35)</f>
        <v>0.35285717248916881</v>
      </c>
      <c r="J66" s="4">
        <f>ABS((J$35-J29)/J$35)</f>
        <v>1.5379348620772351</v>
      </c>
      <c r="K66" s="4">
        <f>ABS((K$35-K29)/K$35)</f>
        <v>0.7290802374482156</v>
      </c>
      <c r="L66" s="4">
        <f>ABS((L$35-L29)/L$35)</f>
        <v>0.97375196544453502</v>
      </c>
      <c r="M66" s="4">
        <f>ABS((M$35-M29)/M$35)</f>
        <v>1.0253669197360673</v>
      </c>
      <c r="N66" s="4">
        <f>ABS((N$35-N29)/N$35)</f>
        <v>0</v>
      </c>
      <c r="O66" s="4">
        <f>ABS((O$35-O29)/O$35)</f>
        <v>0.44791078567504794</v>
      </c>
      <c r="P66" s="4">
        <f>ABS((P$35-P29)/P$35)</f>
        <v>22.135723114013601</v>
      </c>
      <c r="Q66" s="4">
        <f>ABS((Q$35-Q29)/Q$35)</f>
        <v>1.0525747299194337</v>
      </c>
      <c r="R66" s="4">
        <f>ABS((R$35-R29)/R$35)</f>
        <v>3.537850379943845</v>
      </c>
      <c r="S66" s="4">
        <f>ABS((S$35-S29)/S$35)</f>
        <v>1.5963294506072998</v>
      </c>
      <c r="T66" s="4">
        <f>ABS((T$35-T29)/T$35)</f>
        <v>7.6589546203613201</v>
      </c>
      <c r="U66" s="4">
        <f>ABS((U$35-U29)/U$35)</f>
        <v>5.8305783271789551</v>
      </c>
      <c r="V66" s="4">
        <f>ABS((V$35-V29)/V$35)</f>
        <v>7.8033208847045898</v>
      </c>
      <c r="W66" s="4">
        <f>ABS((W$35-W29)/W$35)</f>
        <v>0.18203854560852006</v>
      </c>
      <c r="X66" s="4">
        <f>ABS((X$35-X29)/X$35)</f>
        <v>0</v>
      </c>
      <c r="Y66" s="4">
        <f>ABS((Y$35-Y29)/Y$35)</f>
        <v>0.38833407560984329</v>
      </c>
      <c r="Z66" s="4">
        <f>ABS((Z$35-Z29)/Z$35)</f>
        <v>8.5644841194151944E-2</v>
      </c>
      <c r="AA66" s="4">
        <f>ABS((AA$35-AA29)/AA$35)</f>
        <v>0.57911953926086501</v>
      </c>
      <c r="AB66" s="4">
        <f>ABS((AB$35-AB29)/AB$35)</f>
        <v>2.6620907783508301</v>
      </c>
      <c r="AC66" s="4">
        <f>ABS((AC$35-AC29)/AC$35)</f>
        <v>1.0193650722503649</v>
      </c>
      <c r="AD66" s="4">
        <f>ABS((AD$35-AD29)/AD$35)</f>
        <v>1.3666510581969993E-2</v>
      </c>
      <c r="AE66" s="4">
        <f>ABS((AE$35-AE29)/AE$35)</f>
        <v>7.0643782615660067E-2</v>
      </c>
      <c r="AF66" s="4">
        <f>ABS((AF$35-AF29)/AF$35)</f>
        <v>0.29132354259491</v>
      </c>
      <c r="AG66" s="15">
        <f t="shared" si="32"/>
        <v>2.9317255246970308</v>
      </c>
      <c r="AH66" s="15">
        <f t="shared" si="33"/>
        <v>2.3593020597645227</v>
      </c>
      <c r="AI66" s="6">
        <f>B29</f>
        <v>0.54909366369247403</v>
      </c>
    </row>
    <row r="67" spans="1:35" x14ac:dyDescent="0.35">
      <c r="A67" t="str">
        <f>A30</f>
        <v>Model_586</v>
      </c>
      <c r="B67" s="1" t="s">
        <v>153</v>
      </c>
      <c r="C67" s="4">
        <f>ABS((C$35-C30)/C$35)</f>
        <v>0.28695726394653398</v>
      </c>
      <c r="D67" s="4">
        <f>ABS((D$35-D30)/D$35)</f>
        <v>0</v>
      </c>
      <c r="E67" s="4">
        <f>ABS((E$35-E30)/E$35)</f>
        <v>0.39437637726465913</v>
      </c>
      <c r="F67" s="4">
        <f>ABS((F$35-F30)/F$35)</f>
        <v>0.17536549270153259</v>
      </c>
      <c r="G67" s="4">
        <f>ABS((G$35-G30)/G$35)</f>
        <v>0.17624145746231124</v>
      </c>
      <c r="H67" s="4">
        <f>ABS((H$35-H30)/H$35)</f>
        <v>0.979494190774858</v>
      </c>
      <c r="I67" s="4">
        <f>ABS((I$35-I30)/I$35)</f>
        <v>2.4745913743972747</v>
      </c>
      <c r="J67" s="4">
        <f>ABS((J$35-J30)/J$35)</f>
        <v>0.96753927087411284</v>
      </c>
      <c r="K67" s="4">
        <f>ABS((K$35-K30)/K$35)</f>
        <v>0.81907021254301127</v>
      </c>
      <c r="L67" s="4">
        <f>ABS((L$35-L30)/L$35)</f>
        <v>0.66710560023784693</v>
      </c>
      <c r="M67" s="4">
        <f>ABS((M$35-M30)/M$35)</f>
        <v>0.86987825234731053</v>
      </c>
      <c r="N67" s="4">
        <f>ABS((N$35-N30)/N$35)</f>
        <v>0</v>
      </c>
      <c r="O67" s="4">
        <f>ABS((O$35-O30)/O$35)</f>
        <v>0.97583312690258028</v>
      </c>
      <c r="P67" s="4">
        <f>ABS((P$35-P30)/P$35)</f>
        <v>6.0689568519592063E-2</v>
      </c>
      <c r="Q67" s="4">
        <f>ABS((Q$35-Q30)/Q$35)</f>
        <v>0.78722441196441706</v>
      </c>
      <c r="R67" s="4">
        <f>ABS((R$35-R30)/R$35)</f>
        <v>2.0973031520843497</v>
      </c>
      <c r="S67" s="4">
        <f>ABS((S$35-S30)/S$35)</f>
        <v>0.12442755699158004</v>
      </c>
      <c r="T67" s="4">
        <f>ABS((T$35-T30)/T$35)</f>
        <v>0.87690074741840396</v>
      </c>
      <c r="U67" s="4">
        <f>ABS((U$35-U30)/U$35)</f>
        <v>1.0486097857356071</v>
      </c>
      <c r="V67" s="4">
        <f>ABS((V$35-V30)/V$35)</f>
        <v>1.1510576754808419</v>
      </c>
      <c r="W67" s="4">
        <f>ABS((W$35-W30)/W$35)</f>
        <v>1.2768122752507516</v>
      </c>
      <c r="X67" s="4">
        <f>ABS((X$35-X30)/X$35)</f>
        <v>0</v>
      </c>
      <c r="Y67" s="4">
        <f>ABS((Y$35-Y30)/Y$35)</f>
        <v>0.19404411315917999</v>
      </c>
      <c r="Z67" s="4">
        <f>ABS((Z$35-Z30)/Z$35)</f>
        <v>9.3799066543578995</v>
      </c>
      <c r="AA67" s="4">
        <f>ABS((AA$35-AA30)/AA$35)</f>
        <v>1.133106386661529</v>
      </c>
      <c r="AB67" s="4">
        <f>ABS((AB$35-AB30)/AB$35)</f>
        <v>2.229877114295955</v>
      </c>
      <c r="AC67" s="4">
        <f>ABS((AC$35-AC30)/AC$35)</f>
        <v>0.51410400867462003</v>
      </c>
      <c r="AD67" s="4">
        <f>ABS((AD$35-AD30)/AD$35)</f>
        <v>5.2194728851318297</v>
      </c>
      <c r="AE67" s="4">
        <f>ABS((AE$35-AE30)/AE$35)</f>
        <v>9.3669891357424984E-2</v>
      </c>
      <c r="AF67" s="4">
        <f>ABS((AF$35-AF30)/AF$35)</f>
        <v>6.1926603317262519E-2</v>
      </c>
      <c r="AG67" s="15">
        <f t="shared" si="32"/>
        <v>1.5126514582722264</v>
      </c>
      <c r="AH67" s="15">
        <f t="shared" si="33"/>
        <v>1.2976142759204916</v>
      </c>
      <c r="AI67" s="6">
        <f>B30</f>
        <v>0.52574545145034701</v>
      </c>
    </row>
    <row r="68" spans="1:35" x14ac:dyDescent="0.35">
      <c r="A68" t="str">
        <f>A31</f>
        <v>Model_593</v>
      </c>
      <c r="B68" s="1" t="s">
        <v>153</v>
      </c>
      <c r="C68" s="4">
        <f>ABS((C$35-C31)/C$35)</f>
        <v>1.835076904296874</v>
      </c>
      <c r="D68" s="4">
        <f>ABS((D$35-D31)/D$35)</f>
        <v>0</v>
      </c>
      <c r="E68" s="4">
        <f>ABS((E$35-E31)/E$35)</f>
        <v>0.41736348470051665</v>
      </c>
      <c r="F68" s="4">
        <f>ABS((F$35-F31)/F$35)</f>
        <v>9.9446990489959486</v>
      </c>
      <c r="G68" s="4">
        <f>ABS((G$35-G31)/G$35)</f>
        <v>0.36506187915801247</v>
      </c>
      <c r="H68" s="4">
        <f>ABS((H$35-H31)/H$35)</f>
        <v>7.6198211908339992</v>
      </c>
      <c r="I68" s="4">
        <f>ABS((I$35-I31)/I$35)</f>
        <v>6.3479914665221875</v>
      </c>
      <c r="J68" s="4">
        <f>ABS((J$35-J31)/J$35)</f>
        <v>2.6967621445655752</v>
      </c>
      <c r="K68" s="4">
        <f>ABS((K$35-K31)/K$35)</f>
        <v>1.1898448467254623</v>
      </c>
      <c r="L68" s="4">
        <f>ABS((L$35-L31)/L$35)</f>
        <v>0.14392839372157809</v>
      </c>
      <c r="M68" s="4">
        <f>ABS((M$35-M31)/M$35)</f>
        <v>1.0074984319508076</v>
      </c>
      <c r="N68" s="4">
        <f>ABS((N$35-N31)/N$35)</f>
        <v>0</v>
      </c>
      <c r="O68" s="4">
        <f>ABS((O$35-O31)/O$35)</f>
        <v>0.65350890159606956</v>
      </c>
      <c r="P68" s="4">
        <f>ABS((P$35-P31)/P$35)</f>
        <v>0.58897978067398205</v>
      </c>
      <c r="Q68" s="4">
        <f>ABS((Q$35-Q31)/Q$35)</f>
        <v>0.89518328905105593</v>
      </c>
      <c r="R68" s="4">
        <f>ABS((R$35-R31)/R$35)</f>
        <v>0.33852666616439997</v>
      </c>
      <c r="S68" s="4">
        <f>ABS((S$35-S31)/S$35)</f>
        <v>0.715257048606873</v>
      </c>
      <c r="T68" s="4">
        <f>ABS((T$35-T31)/T$35)</f>
        <v>0.37008965015411399</v>
      </c>
      <c r="U68" s="4">
        <f>ABS((U$35-U31)/U$35)</f>
        <v>1.62124592065811</v>
      </c>
      <c r="V68" s="4">
        <f>ABS((V$35-V31)/V$35)</f>
        <v>1.0748050436377525</v>
      </c>
      <c r="W68" s="4">
        <f>ABS((W$35-W31)/W$35)</f>
        <v>0.51053392887115501</v>
      </c>
      <c r="X68" s="4">
        <f>ABS((X$35-X31)/X$35)</f>
        <v>0</v>
      </c>
      <c r="Y68" s="4">
        <f>ABS((Y$35-Y31)/Y$35)</f>
        <v>0.59440732002258334</v>
      </c>
      <c r="Z68" s="4">
        <f>ABS((Z$35-Z31)/Z$35)</f>
        <v>9.3778014183045988E-2</v>
      </c>
      <c r="AA68" s="4">
        <f>ABS((AA$35-AA31)/AA$35)</f>
        <v>0.59935221672058203</v>
      </c>
      <c r="AB68" s="4">
        <f>ABS((AB$35-AB31)/AB$35)</f>
        <v>1.4464659392833705</v>
      </c>
      <c r="AC68" s="4">
        <f>ABS((AC$35-AC31)/AC$35)</f>
        <v>1.01501441001892</v>
      </c>
      <c r="AD68" s="4">
        <f>ABS((AD$35-AD31)/AD$35)</f>
        <v>0.50758564472197998</v>
      </c>
      <c r="AE68" s="4">
        <f>ABS((AE$35-AE31)/AE$35)</f>
        <v>5.2624583244319956E-2</v>
      </c>
      <c r="AF68" s="4">
        <f>ABS((AF$35-AF31)/AF$35)</f>
        <v>0.46346306800842496</v>
      </c>
      <c r="AG68" s="15">
        <f t="shared" si="32"/>
        <v>1.7384273128101091</v>
      </c>
      <c r="AH68" s="15">
        <f t="shared" si="33"/>
        <v>1.5966247858180627</v>
      </c>
      <c r="AI68" s="6">
        <f>B31</f>
        <v>0.52473020553588801</v>
      </c>
    </row>
    <row r="69" spans="1:35" x14ac:dyDescent="0.35">
      <c r="AF69" s="14" t="s">
        <v>158</v>
      </c>
      <c r="AG69" s="15">
        <f>MIN(AG39:AG68)</f>
        <v>0.65367381790721679</v>
      </c>
      <c r="AH69" s="15">
        <f>MIN(AH39:AH68)</f>
        <v>0.76435801106286549</v>
      </c>
      <c r="AI69" s="6">
        <f>MAX(AI39:AI68)</f>
        <v>0.569993376731872</v>
      </c>
    </row>
    <row r="70" spans="1:35" x14ac:dyDescent="0.35">
      <c r="AF70" s="14" t="s">
        <v>156</v>
      </c>
      <c r="AG70" s="15">
        <f>AVERAGE(AG39:AG68)</f>
        <v>1.3012830751596209</v>
      </c>
      <c r="AH70" s="15">
        <f>AVERAGE(AH39:AH68)</f>
        <v>1.4065664514245482</v>
      </c>
      <c r="AI70" s="11">
        <f>AVERAGE(AI39:AI68)</f>
        <v>0.53800587455431603</v>
      </c>
    </row>
    <row r="71" spans="1:35" x14ac:dyDescent="0.35">
      <c r="AF71" s="14" t="s">
        <v>157</v>
      </c>
      <c r="AG71" s="17">
        <f>_xlfn.STDEV.P(AG39:AG68)</f>
        <v>0.50407919123313349</v>
      </c>
      <c r="AH71" s="17">
        <f>_xlfn.STDEV.P(AH39:AH68)</f>
        <v>0.36236361726990785</v>
      </c>
      <c r="AI71" s="18">
        <f>_xlfn.STDEV.P(AI39:AI68)</f>
        <v>1.3821935873487694E-2</v>
      </c>
    </row>
  </sheetData>
  <conditionalFormatting sqref="AG39:AG68">
    <cfRule type="top10" dxfId="7" priority="3" bottom="1" rank="1"/>
  </conditionalFormatting>
  <conditionalFormatting sqref="AH39:AH68">
    <cfRule type="top10" dxfId="6" priority="2" bottom="1" rank="1"/>
  </conditionalFormatting>
  <conditionalFormatting sqref="AI38:AI68">
    <cfRule type="top10" dxfId="5" priority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3C12-C14A-4669-AC21-FD82B53B3AA6}">
  <dimension ref="A1:S71"/>
  <sheetViews>
    <sheetView topLeftCell="A10" workbookViewId="0">
      <selection activeCell="Q21" sqref="Q21"/>
    </sheetView>
  </sheetViews>
  <sheetFormatPr defaultRowHeight="14.5" x14ac:dyDescent="0.35"/>
  <cols>
    <col min="1" max="1" width="12.26953125" customWidth="1"/>
    <col min="2" max="2" width="10.54296875" style="1" bestFit="1" customWidth="1"/>
    <col min="3" max="3" width="9.54296875" style="1" customWidth="1"/>
    <col min="4" max="5" width="8.7265625" style="1"/>
    <col min="6" max="6" width="8.7265625" style="7"/>
    <col min="7" max="9" width="8.7265625" style="1"/>
    <col min="10" max="10" width="8.7265625" style="7"/>
    <col min="11" max="14" width="8.7265625" style="1"/>
    <col min="16" max="16" width="10.54296875" customWidth="1"/>
    <col min="17" max="17" width="13.1796875" bestFit="1" customWidth="1"/>
    <col min="18" max="18" width="10.54296875" bestFit="1" customWidth="1"/>
  </cols>
  <sheetData>
    <row r="1" spans="1:19" x14ac:dyDescent="0.35">
      <c r="B1" s="1" t="s">
        <v>20</v>
      </c>
      <c r="C1" s="1" t="s">
        <v>21</v>
      </c>
      <c r="D1" s="1" t="s">
        <v>22</v>
      </c>
      <c r="E1" s="1" t="s">
        <v>23</v>
      </c>
      <c r="F1" s="7" t="s">
        <v>24</v>
      </c>
      <c r="G1" s="1" t="s">
        <v>47</v>
      </c>
      <c r="H1" s="1" t="s">
        <v>48</v>
      </c>
      <c r="I1" s="1" t="s">
        <v>49</v>
      </c>
      <c r="J1" s="7" t="s">
        <v>50</v>
      </c>
      <c r="K1" s="1" t="s">
        <v>57</v>
      </c>
      <c r="L1" s="1" t="s">
        <v>58</v>
      </c>
      <c r="M1" s="1" t="s">
        <v>59</v>
      </c>
      <c r="N1" s="1" t="s">
        <v>60</v>
      </c>
      <c r="O1" s="5">
        <v>-1732.8679999999999</v>
      </c>
    </row>
    <row r="2" spans="1:19" x14ac:dyDescent="0.35">
      <c r="A2" t="s">
        <v>164</v>
      </c>
      <c r="B2" s="1">
        <v>0.57069230079650801</v>
      </c>
      <c r="C2" s="1">
        <v>-11.1030769348144</v>
      </c>
      <c r="D2" s="1">
        <v>1</v>
      </c>
      <c r="E2" s="1">
        <v>0.77871233224868697</v>
      </c>
      <c r="F2" s="7">
        <v>0.22881005704402901</v>
      </c>
      <c r="G2" s="1">
        <v>5.6006565093994096</v>
      </c>
      <c r="H2" s="1">
        <v>1</v>
      </c>
      <c r="I2" s="1">
        <v>1.27698278427124</v>
      </c>
      <c r="J2" s="7">
        <v>1.73146724700927</v>
      </c>
      <c r="K2" s="1">
        <v>-4.4206047058105398</v>
      </c>
      <c r="L2" s="1">
        <v>1</v>
      </c>
      <c r="M2" s="1">
        <v>1.41179418563842</v>
      </c>
      <c r="N2" s="1">
        <v>0.12502934038638999</v>
      </c>
      <c r="O2" s="5">
        <f>(1-B2)*$O$1</f>
        <v>-743.9335741033567</v>
      </c>
    </row>
    <row r="3" spans="1:19" x14ac:dyDescent="0.35">
      <c r="A3" t="s">
        <v>159</v>
      </c>
      <c r="B3" s="1">
        <v>0.55198621749877896</v>
      </c>
      <c r="C3" s="1">
        <v>-6.6696534156799299</v>
      </c>
      <c r="D3" s="1">
        <v>1</v>
      </c>
      <c r="E3" s="1">
        <v>0.27233216166496199</v>
      </c>
      <c r="F3" s="7">
        <v>0.26898631453514099</v>
      </c>
      <c r="G3" s="1">
        <v>-7.0615096092224103</v>
      </c>
      <c r="H3" s="1">
        <v>1</v>
      </c>
      <c r="I3" s="1">
        <v>0.93010199069976796</v>
      </c>
      <c r="J3" s="7">
        <v>0.33537125587463301</v>
      </c>
      <c r="K3" s="1">
        <v>-5.2808418273925701</v>
      </c>
      <c r="L3" s="1">
        <v>1</v>
      </c>
      <c r="M3" s="1">
        <v>2.0706899166107098</v>
      </c>
      <c r="N3" s="1">
        <v>0.71913522481918302</v>
      </c>
      <c r="O3" s="5">
        <f t="shared" ref="O3:O31" si="0">(1-B3)*$O$1</f>
        <v>-776.34874725532586</v>
      </c>
    </row>
    <row r="4" spans="1:19" x14ac:dyDescent="0.35">
      <c r="A4" t="s">
        <v>165</v>
      </c>
      <c r="B4" s="1">
        <v>0.57066440582275302</v>
      </c>
      <c r="C4" s="1">
        <v>-0.61467754840850797</v>
      </c>
      <c r="D4" s="1">
        <v>1</v>
      </c>
      <c r="E4" s="1">
        <v>5.6579381227493203E-2</v>
      </c>
      <c r="F4" s="7">
        <v>9.0671636164188302E-2</v>
      </c>
      <c r="G4" s="1">
        <v>-3.1421329975128098</v>
      </c>
      <c r="H4" s="1">
        <v>1</v>
      </c>
      <c r="I4" s="1">
        <v>2.8494713306427002</v>
      </c>
      <c r="J4" s="7">
        <v>0.245915502309799</v>
      </c>
      <c r="K4" s="1">
        <v>-12.279200553894</v>
      </c>
      <c r="L4" s="1">
        <v>1</v>
      </c>
      <c r="M4" s="1">
        <v>0.78724557161331099</v>
      </c>
      <c r="N4" s="1">
        <v>0.45228466391563399</v>
      </c>
      <c r="O4" s="5">
        <f t="shared" si="0"/>
        <v>-743.98191241073755</v>
      </c>
      <c r="Q4" s="20"/>
      <c r="R4" s="20"/>
      <c r="S4" s="20"/>
    </row>
    <row r="5" spans="1:19" x14ac:dyDescent="0.35">
      <c r="A5" t="s">
        <v>143</v>
      </c>
      <c r="B5" s="1">
        <v>0.55705809593200595</v>
      </c>
      <c r="C5" s="1">
        <v>-4.4672212600707999</v>
      </c>
      <c r="D5" s="1">
        <v>1</v>
      </c>
      <c r="E5" s="1">
        <v>1.8164634704589799</v>
      </c>
      <c r="F5" s="7">
        <v>0.33714553713798501</v>
      </c>
      <c r="G5" s="1">
        <v>-8.3640432357787997</v>
      </c>
      <c r="H5" s="1">
        <v>1</v>
      </c>
      <c r="I5" s="1">
        <v>0.541442990303039</v>
      </c>
      <c r="J5" s="7">
        <v>0.20520006120204901</v>
      </c>
      <c r="K5" s="1">
        <v>1.9210071563720701</v>
      </c>
      <c r="L5" s="1">
        <v>1</v>
      </c>
      <c r="M5" s="1">
        <v>1.67050349712371</v>
      </c>
      <c r="N5" s="1">
        <v>0.57506358623504605</v>
      </c>
      <c r="O5" s="5">
        <f t="shared" si="0"/>
        <v>-767.55985141849669</v>
      </c>
      <c r="Q5" s="20"/>
      <c r="R5" s="21"/>
      <c r="S5" s="20"/>
    </row>
    <row r="6" spans="1:19" x14ac:dyDescent="0.35">
      <c r="A6" t="s">
        <v>166</v>
      </c>
      <c r="B6" s="1">
        <v>0.56245523691177302</v>
      </c>
      <c r="C6" s="1">
        <v>-0.25675058364868097</v>
      </c>
      <c r="D6" s="1">
        <v>1</v>
      </c>
      <c r="E6" s="1">
        <v>0.63146394491195601</v>
      </c>
      <c r="F6" s="7">
        <v>0.46733129024505599</v>
      </c>
      <c r="G6" s="1">
        <v>-9.7023630142211896</v>
      </c>
      <c r="H6" s="1">
        <v>1</v>
      </c>
      <c r="I6" s="1">
        <v>2.51777148246765</v>
      </c>
      <c r="J6" s="7">
        <v>0.32682299613952598</v>
      </c>
      <c r="K6" s="1">
        <v>-7.3347220420837402</v>
      </c>
      <c r="L6" s="1">
        <v>1</v>
      </c>
      <c r="M6" s="1">
        <v>0.41714385151863098</v>
      </c>
      <c r="N6" s="1">
        <v>0.24688632786273901</v>
      </c>
      <c r="O6" s="5">
        <f t="shared" si="0"/>
        <v>-758.20731852316965</v>
      </c>
      <c r="Q6" s="20"/>
      <c r="R6" s="21"/>
      <c r="S6" s="20"/>
    </row>
    <row r="7" spans="1:19" x14ac:dyDescent="0.35">
      <c r="A7" t="s">
        <v>167</v>
      </c>
      <c r="B7" s="1">
        <v>0.55159640312194802</v>
      </c>
      <c r="C7" s="1">
        <v>-3.3406288623809801</v>
      </c>
      <c r="D7" s="1">
        <v>1</v>
      </c>
      <c r="E7" s="1">
        <v>2.0809838771820002</v>
      </c>
      <c r="F7" s="7">
        <v>0.39405217766761702</v>
      </c>
      <c r="G7" s="1">
        <v>-12.2994117736816</v>
      </c>
      <c r="H7" s="1">
        <v>1</v>
      </c>
      <c r="I7" s="1">
        <v>1.50155341625213</v>
      </c>
      <c r="J7" s="7">
        <v>0.32365956902503901</v>
      </c>
      <c r="K7" s="1">
        <v>-4.0974831581115696</v>
      </c>
      <c r="L7" s="1">
        <v>1</v>
      </c>
      <c r="M7" s="1">
        <v>0.110824853181838</v>
      </c>
      <c r="N7" s="1">
        <v>0.38448068499565102</v>
      </c>
      <c r="O7" s="5">
        <f t="shared" si="0"/>
        <v>-777.02424411487618</v>
      </c>
      <c r="Q7" s="20"/>
      <c r="R7" s="21"/>
      <c r="S7" s="20"/>
    </row>
    <row r="8" spans="1:19" x14ac:dyDescent="0.35">
      <c r="A8" t="s">
        <v>160</v>
      </c>
      <c r="B8" s="1">
        <v>0.55887639522552401</v>
      </c>
      <c r="C8" s="1">
        <v>-2.9934158325195299</v>
      </c>
      <c r="D8" s="1">
        <v>1</v>
      </c>
      <c r="E8" s="1">
        <v>1.7857900857925399</v>
      </c>
      <c r="F8" s="7">
        <v>0.317409068346023</v>
      </c>
      <c r="G8" s="1">
        <v>-7.7545723915100098</v>
      </c>
      <c r="H8" s="1">
        <v>1</v>
      </c>
      <c r="I8" s="1">
        <v>0.496405929327011</v>
      </c>
      <c r="J8" s="7">
        <v>0.15256950259208599</v>
      </c>
      <c r="K8" s="1">
        <v>2.0557293891906698</v>
      </c>
      <c r="L8" s="1">
        <v>1</v>
      </c>
      <c r="M8" s="1">
        <v>1.0157055854797301</v>
      </c>
      <c r="N8" s="1">
        <v>4.1161313056945801</v>
      </c>
      <c r="O8" s="5">
        <f t="shared" si="0"/>
        <v>-764.40897875833662</v>
      </c>
      <c r="Q8" s="20"/>
      <c r="R8" s="21"/>
      <c r="S8" s="20"/>
    </row>
    <row r="9" spans="1:19" x14ac:dyDescent="0.35">
      <c r="A9" t="s">
        <v>168</v>
      </c>
      <c r="B9" s="1">
        <v>0.558338522911071</v>
      </c>
      <c r="C9" s="1">
        <v>-7.49883937835693</v>
      </c>
      <c r="D9" s="1">
        <v>1</v>
      </c>
      <c r="E9" s="1">
        <v>0.41517707705497697</v>
      </c>
      <c r="F9" s="7">
        <v>0.14922654628753601</v>
      </c>
      <c r="G9" s="1">
        <v>-5.9534940719604403</v>
      </c>
      <c r="H9" s="1">
        <v>1</v>
      </c>
      <c r="I9" s="1">
        <v>1.96814584732055</v>
      </c>
      <c r="J9" s="7">
        <v>0.29070138931274397</v>
      </c>
      <c r="K9" s="1">
        <v>-0.65230727195739702</v>
      </c>
      <c r="L9" s="1">
        <v>1</v>
      </c>
      <c r="M9" s="1">
        <v>0.82147949934005704</v>
      </c>
      <c r="N9" s="1">
        <v>4.3541374206542898</v>
      </c>
      <c r="O9" s="5">
        <f t="shared" si="0"/>
        <v>-765.34104048013819</v>
      </c>
      <c r="Q9" s="20"/>
      <c r="R9" s="21"/>
      <c r="S9" s="20"/>
    </row>
    <row r="10" spans="1:19" x14ac:dyDescent="0.35">
      <c r="A10" t="s">
        <v>169</v>
      </c>
      <c r="B10" s="1">
        <v>0.56337517499923695</v>
      </c>
      <c r="C10" s="1">
        <v>-8.8510646820068306</v>
      </c>
      <c r="D10" s="1">
        <v>1</v>
      </c>
      <c r="E10" s="1">
        <v>0.59915828704833896</v>
      </c>
      <c r="F10" s="7">
        <v>0.10397882759571</v>
      </c>
      <c r="G10" s="1">
        <v>-0.38618081808090199</v>
      </c>
      <c r="H10" s="1">
        <v>1</v>
      </c>
      <c r="I10" s="1">
        <v>2.0652930736541699</v>
      </c>
      <c r="J10" s="7">
        <v>0.28450453281402499</v>
      </c>
      <c r="K10" s="1">
        <v>3.7703003883361799</v>
      </c>
      <c r="L10" s="1">
        <v>1</v>
      </c>
      <c r="M10" s="1">
        <v>1.6060811281204199</v>
      </c>
      <c r="N10" s="1">
        <v>3.5520343780517498</v>
      </c>
      <c r="O10" s="5">
        <f t="shared" si="0"/>
        <v>-756.61318724942225</v>
      </c>
      <c r="Q10" s="20"/>
      <c r="R10" s="21"/>
      <c r="S10" s="20"/>
    </row>
    <row r="11" spans="1:19" x14ac:dyDescent="0.35">
      <c r="A11" t="s">
        <v>170</v>
      </c>
      <c r="B11" s="1">
        <v>0.55277490615844704</v>
      </c>
      <c r="C11" s="1">
        <v>-0.63682621717453003</v>
      </c>
      <c r="D11" s="1">
        <v>1</v>
      </c>
      <c r="E11" s="1">
        <v>0.45445322990417403</v>
      </c>
      <c r="F11" s="7">
        <v>6.08788356184959E-2</v>
      </c>
      <c r="G11" s="1">
        <v>-3.5692572593688898</v>
      </c>
      <c r="H11" s="1">
        <v>1</v>
      </c>
      <c r="I11" s="1">
        <v>3.3416771888732901</v>
      </c>
      <c r="J11" s="7">
        <v>1.41379189491271</v>
      </c>
      <c r="K11" s="1">
        <v>-10.0053157806396</v>
      </c>
      <c r="L11" s="1">
        <v>1</v>
      </c>
      <c r="M11" s="1">
        <v>0.62610310316085804</v>
      </c>
      <c r="N11" s="1">
        <v>0.40948325395584101</v>
      </c>
      <c r="O11" s="5">
        <f t="shared" si="0"/>
        <v>-774.98205391502415</v>
      </c>
      <c r="Q11" s="20"/>
      <c r="R11" s="21"/>
      <c r="S11" s="20"/>
    </row>
    <row r="12" spans="1:19" x14ac:dyDescent="0.35">
      <c r="A12" t="s">
        <v>145</v>
      </c>
      <c r="B12" s="1">
        <v>0.55753004550933805</v>
      </c>
      <c r="C12" s="1">
        <v>-2.4822103977203298</v>
      </c>
      <c r="D12" s="1">
        <v>1</v>
      </c>
      <c r="E12" s="1">
        <v>2.3512380123138401</v>
      </c>
      <c r="F12" s="7">
        <v>1.51562571525573</v>
      </c>
      <c r="G12" s="1">
        <v>-5.9499573707580504</v>
      </c>
      <c r="H12" s="1">
        <v>1</v>
      </c>
      <c r="I12" s="1">
        <v>1.36600530147552</v>
      </c>
      <c r="J12" s="7">
        <v>0.10812072455883</v>
      </c>
      <c r="K12" s="1">
        <v>-7.8250794410705504</v>
      </c>
      <c r="L12" s="1">
        <v>1</v>
      </c>
      <c r="M12" s="1">
        <v>0.43972522020339899</v>
      </c>
      <c r="N12" s="1">
        <v>0.16345822811126701</v>
      </c>
      <c r="O12" s="5">
        <f t="shared" si="0"/>
        <v>-766.74202509832435</v>
      </c>
      <c r="Q12" s="20"/>
      <c r="R12" s="21"/>
      <c r="S12" s="20"/>
    </row>
    <row r="13" spans="1:19" x14ac:dyDescent="0.35">
      <c r="A13" t="s">
        <v>171</v>
      </c>
      <c r="B13" s="1">
        <v>0.55956304073333696</v>
      </c>
      <c r="C13" s="1">
        <v>1.86512432992458E-2</v>
      </c>
      <c r="D13" s="1">
        <v>1</v>
      </c>
      <c r="E13" s="1">
        <v>0.71075224876403797</v>
      </c>
      <c r="F13" s="7">
        <v>1.3914934396743699</v>
      </c>
      <c r="G13" s="1">
        <v>-7.3658857345581001</v>
      </c>
      <c r="H13" s="1">
        <v>1</v>
      </c>
      <c r="I13" s="1">
        <v>0.40274247527122498</v>
      </c>
      <c r="J13" s="7">
        <v>0.34585726261138899</v>
      </c>
      <c r="K13" s="1">
        <v>-5.5640602111816397</v>
      </c>
      <c r="L13" s="1">
        <v>1</v>
      </c>
      <c r="M13" s="1">
        <v>2.1250400543212802</v>
      </c>
      <c r="N13" s="1">
        <v>0.35664215683937001</v>
      </c>
      <c r="O13" s="5">
        <f t="shared" si="0"/>
        <v>-763.21911273050387</v>
      </c>
      <c r="Q13" s="20"/>
      <c r="R13" s="21"/>
      <c r="S13" s="20"/>
    </row>
    <row r="14" spans="1:19" x14ac:dyDescent="0.35">
      <c r="A14" t="s">
        <v>172</v>
      </c>
      <c r="B14" s="1">
        <v>0.55506360530853205</v>
      </c>
      <c r="C14" s="1">
        <v>-5.1745905876159597</v>
      </c>
      <c r="D14" s="1">
        <v>1</v>
      </c>
      <c r="E14" s="1">
        <v>1.0419571399688701</v>
      </c>
      <c r="F14" s="7">
        <v>0.18006567656993799</v>
      </c>
      <c r="G14" s="1">
        <v>-9.1279821395874006</v>
      </c>
      <c r="H14" s="1">
        <v>1</v>
      </c>
      <c r="I14" s="1">
        <v>2.7351944446563698</v>
      </c>
      <c r="J14" s="7">
        <v>1.09120762348175</v>
      </c>
      <c r="K14" s="1">
        <v>-9.3700790405273402</v>
      </c>
      <c r="L14" s="1">
        <v>1</v>
      </c>
      <c r="M14" s="1">
        <v>0.54628849029541005</v>
      </c>
      <c r="N14" s="1">
        <v>0.33232495188713002</v>
      </c>
      <c r="O14" s="5">
        <f t="shared" si="0"/>
        <v>-771.01604039621463</v>
      </c>
      <c r="Q14" s="20"/>
      <c r="R14" s="21"/>
      <c r="S14" s="20"/>
    </row>
    <row r="15" spans="1:19" x14ac:dyDescent="0.35">
      <c r="A15" t="s">
        <v>173</v>
      </c>
      <c r="B15" s="1">
        <v>0.56338763236999501</v>
      </c>
      <c r="C15" s="1">
        <v>-0.38762030005455</v>
      </c>
      <c r="D15" s="1">
        <v>1</v>
      </c>
      <c r="E15" s="1">
        <v>0.21382264792919101</v>
      </c>
      <c r="F15" s="7">
        <v>4.8822328448295503E-2</v>
      </c>
      <c r="G15" s="1">
        <v>-8.3315095901489205</v>
      </c>
      <c r="H15" s="1">
        <v>1</v>
      </c>
      <c r="I15" s="1">
        <v>2.4728300571441602</v>
      </c>
      <c r="J15" s="7">
        <v>0.36969533562660201</v>
      </c>
      <c r="K15" s="1">
        <v>-8.4141082763671804</v>
      </c>
      <c r="L15" s="1">
        <v>1</v>
      </c>
      <c r="M15" s="1">
        <v>0.53121852874755804</v>
      </c>
      <c r="N15" s="1">
        <v>0.213793694972991</v>
      </c>
      <c r="O15" s="5">
        <f t="shared" si="0"/>
        <v>-756.59160027027144</v>
      </c>
      <c r="Q15" s="20"/>
      <c r="R15" s="21"/>
      <c r="S15" s="20"/>
    </row>
    <row r="16" spans="1:19" x14ac:dyDescent="0.35">
      <c r="A16" t="s">
        <v>161</v>
      </c>
      <c r="B16" s="1">
        <v>0.56356942653655995</v>
      </c>
      <c r="C16" s="1">
        <v>-0.72747451066970803</v>
      </c>
      <c r="D16" s="1">
        <v>1</v>
      </c>
      <c r="E16" s="1">
        <v>0.707505583763122</v>
      </c>
      <c r="F16" s="7">
        <v>1.6955649852752599</v>
      </c>
      <c r="G16" s="1">
        <v>-7.93086338043212</v>
      </c>
      <c r="H16" s="1">
        <v>1</v>
      </c>
      <c r="I16" s="1">
        <v>0.48399749398231501</v>
      </c>
      <c r="J16" s="7">
        <v>0.45612382888793901</v>
      </c>
      <c r="K16" s="1">
        <v>-4.8602085113525302</v>
      </c>
      <c r="L16" s="1">
        <v>1</v>
      </c>
      <c r="M16" s="1">
        <v>1.9172945022582999</v>
      </c>
      <c r="N16" s="1">
        <v>0.116559833288192</v>
      </c>
      <c r="O16" s="5">
        <f t="shared" si="0"/>
        <v>-756.27657497644441</v>
      </c>
      <c r="Q16" s="20"/>
      <c r="R16" s="21"/>
      <c r="S16" s="20"/>
    </row>
    <row r="17" spans="1:19" x14ac:dyDescent="0.35">
      <c r="A17" t="s">
        <v>46</v>
      </c>
      <c r="B17" s="1">
        <v>0.56514298915863004</v>
      </c>
      <c r="C17" s="1">
        <v>-11.212079048156699</v>
      </c>
      <c r="D17" s="1">
        <v>1</v>
      </c>
      <c r="E17" s="1">
        <v>2.77676796913146</v>
      </c>
      <c r="F17" s="7">
        <v>0.71773064136505105</v>
      </c>
      <c r="G17" s="1">
        <v>-7.43265533447265</v>
      </c>
      <c r="H17" s="1">
        <v>1</v>
      </c>
      <c r="I17" s="1">
        <v>0.396587133407592</v>
      </c>
      <c r="J17" s="7">
        <v>0.52300322055816595</v>
      </c>
      <c r="K17" s="1">
        <v>-0.624411761760711</v>
      </c>
      <c r="L17" s="1">
        <v>1</v>
      </c>
      <c r="M17" s="1">
        <v>1.00245761871337</v>
      </c>
      <c r="N17" s="1">
        <v>0.14089381694793701</v>
      </c>
      <c r="O17" s="5">
        <f t="shared" si="0"/>
        <v>-753.54979866266308</v>
      </c>
      <c r="Q17" s="20"/>
      <c r="R17" s="21"/>
      <c r="S17" s="20"/>
    </row>
    <row r="18" spans="1:19" x14ac:dyDescent="0.35">
      <c r="A18" t="s">
        <v>174</v>
      </c>
      <c r="B18" s="1">
        <v>0.55384767055511397</v>
      </c>
      <c r="C18" s="1">
        <v>-6.8442320823669398</v>
      </c>
      <c r="D18" s="1">
        <v>1</v>
      </c>
      <c r="E18" s="1">
        <v>0.33929705619812001</v>
      </c>
      <c r="F18" s="7">
        <v>0.51330453157424905</v>
      </c>
      <c r="G18" s="1">
        <v>-1.4286435842514</v>
      </c>
      <c r="H18" s="1">
        <v>1</v>
      </c>
      <c r="I18" s="1">
        <v>1.4226865768432599</v>
      </c>
      <c r="J18" s="7">
        <v>1.4859718084335301</v>
      </c>
      <c r="K18" s="1">
        <v>-4.9867196083068803</v>
      </c>
      <c r="L18" s="1">
        <v>1</v>
      </c>
      <c r="M18" s="1">
        <v>1.8787695169448799</v>
      </c>
      <c r="N18" s="1">
        <v>0.20387963950634</v>
      </c>
      <c r="O18" s="5">
        <f t="shared" si="0"/>
        <v>-773.12309482050068</v>
      </c>
      <c r="Q18" s="20"/>
      <c r="R18" s="21"/>
      <c r="S18" s="20"/>
    </row>
    <row r="19" spans="1:19" x14ac:dyDescent="0.35">
      <c r="A19" t="s">
        <v>175</v>
      </c>
      <c r="B19" s="1">
        <v>0.56483787298202504</v>
      </c>
      <c r="C19" s="1">
        <v>-1.08000516891479</v>
      </c>
      <c r="D19" s="1">
        <v>1</v>
      </c>
      <c r="E19" s="1">
        <v>0.48348766565322798</v>
      </c>
      <c r="F19" s="7">
        <v>0.146546825766563</v>
      </c>
      <c r="G19" s="1">
        <v>-11.062063217163001</v>
      </c>
      <c r="H19" s="1">
        <v>1</v>
      </c>
      <c r="I19" s="1">
        <v>5.9261503219604403</v>
      </c>
      <c r="J19" s="7">
        <v>0.259784966707229</v>
      </c>
      <c r="K19" s="1">
        <v>-9.5513000488281197</v>
      </c>
      <c r="L19" s="1">
        <v>1</v>
      </c>
      <c r="M19" s="1">
        <v>0.61747217178344704</v>
      </c>
      <c r="N19" s="1">
        <v>0.26873308420181202</v>
      </c>
      <c r="O19" s="5">
        <f t="shared" si="0"/>
        <v>-754.07852472138427</v>
      </c>
      <c r="Q19" s="20"/>
      <c r="R19" s="20"/>
      <c r="S19" s="20"/>
    </row>
    <row r="20" spans="1:19" x14ac:dyDescent="0.35">
      <c r="A20" t="s">
        <v>151</v>
      </c>
      <c r="B20" s="1">
        <v>0.55020296573638905</v>
      </c>
      <c r="C20" s="1">
        <v>-5.8585619926452601</v>
      </c>
      <c r="D20" s="1">
        <v>1</v>
      </c>
      <c r="E20" s="1">
        <v>0.253119736909866</v>
      </c>
      <c r="F20" s="7">
        <v>0.187172591686248</v>
      </c>
      <c r="G20" s="1">
        <v>-7.40846824645996</v>
      </c>
      <c r="H20" s="1">
        <v>1</v>
      </c>
      <c r="I20" s="1">
        <v>2.00990867614746</v>
      </c>
      <c r="J20" s="7">
        <v>0.50401037931442205</v>
      </c>
      <c r="K20" s="1">
        <v>-0.68058514595031705</v>
      </c>
      <c r="L20" s="1">
        <v>1</v>
      </c>
      <c r="M20" s="1">
        <v>0.263275146484375</v>
      </c>
      <c r="N20" s="1">
        <v>1.24115002155303</v>
      </c>
      <c r="O20" s="5">
        <f t="shared" si="0"/>
        <v>-779.43888717031496</v>
      </c>
      <c r="Q20" s="20"/>
      <c r="R20" s="20"/>
      <c r="S20" s="20"/>
    </row>
    <row r="21" spans="1:19" x14ac:dyDescent="0.35">
      <c r="A21" t="s">
        <v>176</v>
      </c>
      <c r="B21" s="1">
        <v>0.57139945030212402</v>
      </c>
      <c r="C21" s="1">
        <v>-10.218075752258301</v>
      </c>
      <c r="D21" s="1">
        <v>1</v>
      </c>
      <c r="E21" s="1">
        <v>0.71671158075332597</v>
      </c>
      <c r="F21" s="7">
        <v>0.17372430860996199</v>
      </c>
      <c r="G21" s="1">
        <v>-3.44576668739318</v>
      </c>
      <c r="H21" s="1">
        <v>1</v>
      </c>
      <c r="I21" s="1">
        <v>1.9640884399414</v>
      </c>
      <c r="J21" s="7">
        <v>1.31420266628265</v>
      </c>
      <c r="K21" s="1">
        <v>0.80705106258392301</v>
      </c>
      <c r="L21" s="1">
        <v>1</v>
      </c>
      <c r="M21" s="1">
        <v>0.62415188550949097</v>
      </c>
      <c r="N21" s="1">
        <v>0.63811063766479403</v>
      </c>
      <c r="O21" s="5">
        <f t="shared" si="0"/>
        <v>-742.7081773538589</v>
      </c>
      <c r="Q21" s="20"/>
      <c r="R21" s="20"/>
      <c r="S21" s="20"/>
    </row>
    <row r="22" spans="1:19" x14ac:dyDescent="0.35">
      <c r="A22" t="s">
        <v>177</v>
      </c>
      <c r="B22" s="1">
        <v>0.55563521385192804</v>
      </c>
      <c r="C22" s="1">
        <v>-6.8268909454345703</v>
      </c>
      <c r="D22" s="1">
        <v>1</v>
      </c>
      <c r="E22" s="1">
        <v>0.44099187850952098</v>
      </c>
      <c r="F22" s="7">
        <v>0.13854274153709401</v>
      </c>
      <c r="G22" s="1">
        <v>-3.37208771705627</v>
      </c>
      <c r="H22" s="1">
        <v>1</v>
      </c>
      <c r="I22" s="1">
        <v>6.56996297836303</v>
      </c>
      <c r="J22" s="7">
        <v>1.2876056432723999</v>
      </c>
      <c r="K22" s="1">
        <v>0.279685288667678</v>
      </c>
      <c r="L22" s="1">
        <v>1</v>
      </c>
      <c r="M22" s="1">
        <v>0.74323552846908503</v>
      </c>
      <c r="N22" s="1">
        <v>1.41315913200378</v>
      </c>
      <c r="O22" s="5">
        <f t="shared" si="0"/>
        <v>-770.02551824283717</v>
      </c>
      <c r="Q22" s="20"/>
      <c r="R22" s="20"/>
      <c r="S22" s="20"/>
    </row>
    <row r="23" spans="1:19" x14ac:dyDescent="0.35">
      <c r="A23" t="s">
        <v>178</v>
      </c>
      <c r="B23" s="1">
        <v>0.55408227443695002</v>
      </c>
      <c r="C23" s="1">
        <v>-5.64137363433837</v>
      </c>
      <c r="D23" s="1">
        <v>1</v>
      </c>
      <c r="E23" s="1">
        <v>6.2068339437246302E-2</v>
      </c>
      <c r="F23" s="7">
        <v>0.54963612556457497</v>
      </c>
      <c r="G23" s="1">
        <v>-5.1917843818664497</v>
      </c>
      <c r="H23" s="1">
        <v>1</v>
      </c>
      <c r="I23" s="1">
        <v>1.75972652435302</v>
      </c>
      <c r="J23" s="7">
        <v>1.2339663505554199</v>
      </c>
      <c r="K23" s="1">
        <v>-7.2457933425903303</v>
      </c>
      <c r="L23" s="1">
        <v>1</v>
      </c>
      <c r="M23" s="1">
        <v>0.99190503358840898</v>
      </c>
      <c r="N23" s="1">
        <v>7.9952798783779103E-2</v>
      </c>
      <c r="O23" s="5">
        <f t="shared" si="0"/>
        <v>-772.71655726099129</v>
      </c>
      <c r="Q23" s="20"/>
      <c r="R23" s="20"/>
      <c r="S23" s="20"/>
    </row>
    <row r="24" spans="1:19" x14ac:dyDescent="0.35">
      <c r="A24" t="s">
        <v>162</v>
      </c>
      <c r="B24" s="1">
        <v>0.57073503732681197</v>
      </c>
      <c r="C24" s="1">
        <v>-9.6112108230590803</v>
      </c>
      <c r="D24" s="1">
        <v>1</v>
      </c>
      <c r="E24" s="1">
        <v>0.66188657283782903</v>
      </c>
      <c r="F24" s="7">
        <v>0.14821855723857799</v>
      </c>
      <c r="G24" s="1">
        <v>-2.8931384086608798</v>
      </c>
      <c r="H24" s="1">
        <v>1</v>
      </c>
      <c r="I24" s="1">
        <v>1.9648245573043801</v>
      </c>
      <c r="J24" s="7">
        <v>0.507507264614105</v>
      </c>
      <c r="K24" s="1">
        <v>0.40910544991493197</v>
      </c>
      <c r="L24" s="1">
        <v>1</v>
      </c>
      <c r="M24" s="1">
        <v>0.79914873838424605</v>
      </c>
      <c r="N24" s="1">
        <v>0.82271027565002397</v>
      </c>
      <c r="O24" s="5">
        <f t="shared" si="0"/>
        <v>-743.85951733756201</v>
      </c>
    </row>
    <row r="25" spans="1:19" x14ac:dyDescent="0.35">
      <c r="A25" t="s">
        <v>111</v>
      </c>
      <c r="B25" s="1">
        <v>0.55136370658874501</v>
      </c>
      <c r="C25" s="1">
        <v>-4.7608776092529297</v>
      </c>
      <c r="D25" s="1">
        <v>1</v>
      </c>
      <c r="E25" s="1">
        <v>0.132311850786209</v>
      </c>
      <c r="F25" s="7">
        <v>0.361953794956207</v>
      </c>
      <c r="G25" s="1">
        <v>1.01783847808837</v>
      </c>
      <c r="H25" s="1">
        <v>1</v>
      </c>
      <c r="I25" s="1">
        <v>2.0131740570068302</v>
      </c>
      <c r="J25" s="7">
        <v>0.66332364082336404</v>
      </c>
      <c r="K25" s="1">
        <v>-8.2479248046875</v>
      </c>
      <c r="L25" s="1">
        <v>1</v>
      </c>
      <c r="M25" s="1">
        <v>1.3019595146179199</v>
      </c>
      <c r="N25" s="1">
        <v>0.35605704784393299</v>
      </c>
      <c r="O25" s="5">
        <f t="shared" si="0"/>
        <v>-777.42747649097464</v>
      </c>
    </row>
    <row r="26" spans="1:19" x14ac:dyDescent="0.35">
      <c r="A26" t="s">
        <v>112</v>
      </c>
      <c r="B26" s="1">
        <v>0.55682051181793202</v>
      </c>
      <c r="C26" s="1">
        <v>-7.8745136260986301</v>
      </c>
      <c r="D26" s="1">
        <v>1</v>
      </c>
      <c r="E26" s="1">
        <v>2.19955253601074</v>
      </c>
      <c r="F26" s="7">
        <v>0.33538183569908098</v>
      </c>
      <c r="G26" s="1">
        <v>-7.6854844093322701</v>
      </c>
      <c r="H26" s="1">
        <v>1</v>
      </c>
      <c r="I26" s="1">
        <v>0.408160120248794</v>
      </c>
      <c r="J26" s="7">
        <v>0.20690184831619199</v>
      </c>
      <c r="K26" s="1">
        <v>-0.336547940969467</v>
      </c>
      <c r="L26" s="1">
        <v>1</v>
      </c>
      <c r="M26" s="1">
        <v>0.82775866985321001</v>
      </c>
      <c r="N26" s="1">
        <v>0.22971579432487399</v>
      </c>
      <c r="O26" s="5">
        <f t="shared" si="0"/>
        <v>-767.97155332708371</v>
      </c>
    </row>
    <row r="27" spans="1:19" x14ac:dyDescent="0.35">
      <c r="A27" t="s">
        <v>179</v>
      </c>
      <c r="B27" s="1">
        <v>0.55957794189453103</v>
      </c>
      <c r="C27" s="1">
        <v>4.8984613418579102</v>
      </c>
      <c r="D27" s="1">
        <v>1</v>
      </c>
      <c r="E27" s="1">
        <v>4.14918661117553</v>
      </c>
      <c r="F27" s="7">
        <v>5.5584006309509197</v>
      </c>
      <c r="G27" s="1">
        <v>-8.5265178680419904</v>
      </c>
      <c r="H27" s="1">
        <v>1</v>
      </c>
      <c r="I27" s="1">
        <v>0.50740075111389105</v>
      </c>
      <c r="J27" s="7">
        <v>0.20767851173877699</v>
      </c>
      <c r="K27" s="1">
        <v>-4.3257112503051696</v>
      </c>
      <c r="L27" s="1">
        <v>1</v>
      </c>
      <c r="M27" s="1">
        <v>1.47752201557159</v>
      </c>
      <c r="N27" s="1">
        <v>0.24752508103847501</v>
      </c>
      <c r="O27" s="5">
        <f t="shared" si="0"/>
        <v>-763.19329098510775</v>
      </c>
    </row>
    <row r="28" spans="1:19" x14ac:dyDescent="0.35">
      <c r="A28" t="s">
        <v>180</v>
      </c>
      <c r="B28" s="1">
        <v>0.57322227954864502</v>
      </c>
      <c r="C28" s="1">
        <v>0.16850610077381101</v>
      </c>
      <c r="D28" s="1">
        <v>1</v>
      </c>
      <c r="E28" s="1">
        <v>0.77949070930480902</v>
      </c>
      <c r="F28" s="7">
        <v>0.26915833353996199</v>
      </c>
      <c r="G28" s="1">
        <v>-7.4961133003234801</v>
      </c>
      <c r="H28" s="1">
        <v>1</v>
      </c>
      <c r="I28" s="1">
        <v>2.0820777416229199</v>
      </c>
      <c r="J28" s="7">
        <v>0.86879724264144897</v>
      </c>
      <c r="K28" s="1">
        <v>-9.6354084014892507</v>
      </c>
      <c r="L28" s="1">
        <v>1</v>
      </c>
      <c r="M28" s="1">
        <v>0.64628767967224099</v>
      </c>
      <c r="N28" s="1">
        <v>0.38549703359603799</v>
      </c>
      <c r="O28" s="5">
        <f t="shared" si="0"/>
        <v>-739.54945488309852</v>
      </c>
    </row>
    <row r="29" spans="1:19" x14ac:dyDescent="0.35">
      <c r="A29" t="s">
        <v>181</v>
      </c>
      <c r="B29" s="1">
        <v>0.54998046159744196</v>
      </c>
      <c r="C29" s="1">
        <v>-0.13257026672363201</v>
      </c>
      <c r="D29" s="1">
        <v>1</v>
      </c>
      <c r="E29" s="1">
        <v>0.39829424023628202</v>
      </c>
      <c r="F29" s="7">
        <v>0.125027805566787</v>
      </c>
      <c r="G29" s="1">
        <v>-5.3613338470458896</v>
      </c>
      <c r="H29" s="1">
        <v>1</v>
      </c>
      <c r="I29" s="1">
        <v>2.1061873435974099</v>
      </c>
      <c r="J29" s="7">
        <v>0.115212090313434</v>
      </c>
      <c r="K29" s="1">
        <v>-6.8581571578979403</v>
      </c>
      <c r="L29" s="1">
        <v>1</v>
      </c>
      <c r="M29" s="1">
        <v>0.25411406159400901</v>
      </c>
      <c r="N29" s="1">
        <v>0.786016404628753</v>
      </c>
      <c r="O29" s="5">
        <f t="shared" si="0"/>
        <v>-779.82445747256395</v>
      </c>
    </row>
    <row r="30" spans="1:19" x14ac:dyDescent="0.35">
      <c r="A30" t="s">
        <v>182</v>
      </c>
      <c r="B30" s="1">
        <v>0.56301450729370095</v>
      </c>
      <c r="C30" s="1">
        <v>-2.6692864894866899</v>
      </c>
      <c r="D30" s="1">
        <v>1</v>
      </c>
      <c r="E30" s="1">
        <v>1.73829293251037</v>
      </c>
      <c r="F30" s="7">
        <v>4.3495614081621101E-2</v>
      </c>
      <c r="G30" s="1">
        <v>-7.7373089790344203</v>
      </c>
      <c r="H30" s="1">
        <v>1</v>
      </c>
      <c r="I30" s="1">
        <v>9.3410882949829102</v>
      </c>
      <c r="J30" s="7">
        <v>5.1552419662475497</v>
      </c>
      <c r="K30" s="1">
        <v>-8.5400304794311506</v>
      </c>
      <c r="L30" s="1">
        <v>1</v>
      </c>
      <c r="M30" s="1">
        <v>0.52665984630584695</v>
      </c>
      <c r="N30" s="1">
        <v>0.55045241117477395</v>
      </c>
      <c r="O30" s="5">
        <f t="shared" si="0"/>
        <v>-757.23817677497902</v>
      </c>
    </row>
    <row r="31" spans="1:19" x14ac:dyDescent="0.35">
      <c r="A31" t="s">
        <v>183</v>
      </c>
      <c r="B31" s="1">
        <v>0.55937260389328003</v>
      </c>
      <c r="C31" s="1">
        <v>-7.2052440643310502</v>
      </c>
      <c r="D31" s="1">
        <v>1</v>
      </c>
      <c r="E31" s="1">
        <v>0.34485885500907898</v>
      </c>
      <c r="F31" s="7">
        <v>0.43753978610038702</v>
      </c>
      <c r="G31" s="1">
        <v>1.29785084724426</v>
      </c>
      <c r="H31" s="1">
        <v>1</v>
      </c>
      <c r="I31" s="1">
        <v>3.8988721370696999</v>
      </c>
      <c r="J31" s="7">
        <v>0.89473301172256403</v>
      </c>
      <c r="K31" s="1">
        <v>-6.9606857299804599</v>
      </c>
      <c r="L31" s="1">
        <v>1</v>
      </c>
      <c r="M31" s="1">
        <v>1.92674124240875</v>
      </c>
      <c r="N31" s="1">
        <v>0.15465219318866699</v>
      </c>
      <c r="O31" s="5">
        <f t="shared" si="0"/>
        <v>-763.54911463665962</v>
      </c>
    </row>
    <row r="32" spans="1:19" x14ac:dyDescent="0.35">
      <c r="B32" s="2">
        <f t="shared" ref="B32" si="1">AVERAGE(B2:B31)</f>
        <v>0.55987222989400209</v>
      </c>
      <c r="C32" s="2">
        <f t="shared" ref="C32" si="2">AVERAGE(C2:C31)</f>
        <v>-4.3351117776085886</v>
      </c>
      <c r="D32" s="2">
        <f t="shared" ref="D32" si="3">AVERAGE(D2:D31)</f>
        <v>1</v>
      </c>
      <c r="E32" s="2">
        <f t="shared" ref="E32" si="4">AVERAGE(E2:E31)</f>
        <v>0.97975693382322626</v>
      </c>
      <c r="F32" s="8">
        <f t="shared" ref="F32" si="5">AVERAGE(F2:F31)</f>
        <v>0.56519655200342223</v>
      </c>
      <c r="G32" s="2">
        <f t="shared" ref="G32" si="6">AVERAGE(G2:G31)</f>
        <v>-5.6021394511063827</v>
      </c>
      <c r="H32" s="2">
        <f t="shared" ref="H32" si="7">AVERAGE(H2:H31)</f>
        <v>1</v>
      </c>
      <c r="I32" s="2">
        <f t="shared" ref="I32" si="8">AVERAGE(I2:I31)</f>
        <v>2.2440170486768056</v>
      </c>
      <c r="J32" s="8">
        <f t="shared" ref="J32" si="9">AVERAGE(J2:J31)</f>
        <v>0.763631644596655</v>
      </c>
      <c r="K32" s="2">
        <f t="shared" ref="K32" si="10">AVERAGE(K2:K31)</f>
        <v>-4.628480258584017</v>
      </c>
      <c r="L32" s="2">
        <f t="shared" ref="L32" si="11">AVERAGE(L2:L31)</f>
        <v>1</v>
      </c>
      <c r="M32" s="2">
        <f t="shared" ref="M32" si="12">AVERAGE(M2:M31)</f>
        <v>0.9992865552504836</v>
      </c>
      <c r="N32" s="2">
        <f t="shared" ref="N32:O32" si="13">AVERAGE(N2:N31)</f>
        <v>0.78786501412590237</v>
      </c>
      <c r="O32" s="5">
        <f t="shared" si="13"/>
        <v>-762.68332872804069</v>
      </c>
    </row>
    <row r="33" spans="1:17" x14ac:dyDescent="0.35">
      <c r="B33" s="17">
        <f>MAX(B2:B31)</f>
        <v>0.57322227954864502</v>
      </c>
      <c r="O33" s="19">
        <f>MAX(O2:O32)</f>
        <v>-739.54945488309852</v>
      </c>
    </row>
    <row r="34" spans="1:17" x14ac:dyDescent="0.35">
      <c r="B34" t="s">
        <v>70</v>
      </c>
      <c r="C34" s="1" t="s">
        <v>71</v>
      </c>
      <c r="D34" s="1" t="s">
        <v>5</v>
      </c>
      <c r="E34" s="1" t="s">
        <v>6</v>
      </c>
      <c r="F34" s="1" t="s">
        <v>7</v>
      </c>
      <c r="G34" s="1" t="s">
        <v>71</v>
      </c>
      <c r="H34" s="1" t="s">
        <v>5</v>
      </c>
      <c r="I34" s="1" t="s">
        <v>6</v>
      </c>
      <c r="J34" s="1" t="s">
        <v>7</v>
      </c>
      <c r="K34" s="1" t="s">
        <v>71</v>
      </c>
      <c r="L34" s="1" t="s">
        <v>5</v>
      </c>
      <c r="M34" s="1" t="s">
        <v>6</v>
      </c>
      <c r="N34" s="1" t="s">
        <v>7</v>
      </c>
    </row>
    <row r="35" spans="1:17" x14ac:dyDescent="0.35">
      <c r="B35" t="s">
        <v>81</v>
      </c>
      <c r="C35" s="1">
        <v>-5</v>
      </c>
      <c r="D35" s="1">
        <v>1</v>
      </c>
      <c r="E35" s="1">
        <v>1.2</v>
      </c>
      <c r="F35" s="1">
        <v>0.4</v>
      </c>
      <c r="G35" s="1">
        <v>-6</v>
      </c>
      <c r="H35" s="1">
        <v>1</v>
      </c>
      <c r="I35" s="1">
        <v>2.5</v>
      </c>
      <c r="J35" s="1">
        <v>0.5</v>
      </c>
      <c r="K35" s="1">
        <v>-6</v>
      </c>
      <c r="L35" s="1">
        <v>1</v>
      </c>
      <c r="M35" s="1">
        <v>1.5</v>
      </c>
      <c r="N35" s="1">
        <v>0.5</v>
      </c>
    </row>
    <row r="36" spans="1:17" x14ac:dyDescent="0.35">
      <c r="B36" t="s">
        <v>82</v>
      </c>
      <c r="C36">
        <v>1</v>
      </c>
      <c r="D36">
        <v>0</v>
      </c>
      <c r="E36">
        <v>1</v>
      </c>
      <c r="F36">
        <v>1</v>
      </c>
      <c r="G36">
        <v>1</v>
      </c>
      <c r="H36">
        <v>0</v>
      </c>
      <c r="I36">
        <v>1</v>
      </c>
      <c r="J36">
        <v>1</v>
      </c>
      <c r="K36">
        <v>1</v>
      </c>
      <c r="L36">
        <v>0</v>
      </c>
      <c r="M36">
        <v>1</v>
      </c>
      <c r="N36">
        <v>1</v>
      </c>
    </row>
    <row r="37" spans="1:17" x14ac:dyDescent="0.3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7" x14ac:dyDescent="0.35">
      <c r="O38" s="14" t="s">
        <v>154</v>
      </c>
      <c r="P38" t="s">
        <v>163</v>
      </c>
    </row>
    <row r="39" spans="1:17" x14ac:dyDescent="0.35">
      <c r="A39" t="str">
        <f>A2</f>
        <v>Model_5</v>
      </c>
      <c r="B39" s="1" t="s">
        <v>153</v>
      </c>
      <c r="C39" s="4">
        <f>ABS((C$35-C2)/C$35)</f>
        <v>1.22061538696288</v>
      </c>
      <c r="D39" s="4">
        <f>ABS((D$35-D2)/D$35)</f>
        <v>0</v>
      </c>
      <c r="E39" s="4">
        <f>ABS((E$35-E2)/E$35)</f>
        <v>0.35107305645942749</v>
      </c>
      <c r="F39" s="4">
        <f>ABS((F$35-F2)/F$35)</f>
        <v>0.42797485738992752</v>
      </c>
      <c r="G39" s="4">
        <f>ABS((G$35-G2)/G$35)</f>
        <v>1.9334427515665684</v>
      </c>
      <c r="H39" s="4">
        <f>ABS((H$35-H2)/H$35)</f>
        <v>0</v>
      </c>
      <c r="I39" s="4">
        <f>ABS((I$35-I2)/I$35)</f>
        <v>0.489206886291504</v>
      </c>
      <c r="J39" s="4">
        <f>ABS((J$35-J2)/J$35)</f>
        <v>2.46293449401854</v>
      </c>
      <c r="K39" s="4">
        <f>ABS((K$35-K2)/K$35)</f>
        <v>0.26323254903157672</v>
      </c>
      <c r="L39" s="4">
        <f>ABS((L$35-L2)/L$35)</f>
        <v>0</v>
      </c>
      <c r="M39" s="4">
        <f>ABS((M$35-M2)/M$35)</f>
        <v>5.8803876241053356E-2</v>
      </c>
      <c r="N39" s="4">
        <f>ABS((N$35-N2)/N$35)</f>
        <v>0.74994131922721996</v>
      </c>
      <c r="O39" s="15">
        <f>SUMPRODUCT($C$36:$N$36,C39:N39)/SUM($C$36:$N$36)</f>
        <v>0.88413613079874431</v>
      </c>
      <c r="P39" s="6">
        <f>B2</f>
        <v>0.57069230079650801</v>
      </c>
    </row>
    <row r="40" spans="1:17" x14ac:dyDescent="0.35">
      <c r="A40" t="str">
        <f>A3</f>
        <v>Model_8</v>
      </c>
      <c r="B40" s="1" t="s">
        <v>153</v>
      </c>
      <c r="C40" s="4">
        <f>ABS((C$35-C3)/C$35)</f>
        <v>0.33393068313598595</v>
      </c>
      <c r="D40" s="4">
        <f>ABS((D$35-D3)/D$35)</f>
        <v>0</v>
      </c>
      <c r="E40" s="4">
        <f>ABS((E$35-E3)/E$35)</f>
        <v>0.77305653194586499</v>
      </c>
      <c r="F40" s="4">
        <f>ABS((F$35-F3)/F$35)</f>
        <v>0.32753421366214758</v>
      </c>
      <c r="G40" s="4">
        <f>ABS((G$35-G3)/G$35)</f>
        <v>0.17691826820373505</v>
      </c>
      <c r="H40" s="4">
        <f>ABS((H$35-H3)/H$35)</f>
        <v>0</v>
      </c>
      <c r="I40" s="4">
        <f>ABS((I$35-I3)/I$35)</f>
        <v>0.62795920372009273</v>
      </c>
      <c r="J40" s="4">
        <f>ABS((J$35-J3)/J$35)</f>
        <v>0.32925748825073398</v>
      </c>
      <c r="K40" s="4">
        <f>ABS((K$35-K3)/K$35)</f>
        <v>0.11985969543457164</v>
      </c>
      <c r="L40" s="4">
        <f>ABS((L$35-L3)/L$35)</f>
        <v>0</v>
      </c>
      <c r="M40" s="4">
        <f>ABS((M$35-M3)/M$35)</f>
        <v>0.38045994440713987</v>
      </c>
      <c r="N40" s="4">
        <f>ABS((N$35-N3)/N$35)</f>
        <v>0.43827044963836603</v>
      </c>
      <c r="O40" s="15">
        <f t="shared" ref="O40:O68" si="14">SUMPRODUCT($C$36:$N$36,C40:N40)/SUM($C$36:$N$36)</f>
        <v>0.38969405315540417</v>
      </c>
      <c r="P40" s="6">
        <f>B3</f>
        <v>0.55198621749877896</v>
      </c>
    </row>
    <row r="41" spans="1:17" x14ac:dyDescent="0.35">
      <c r="A41" t="str">
        <f>A4</f>
        <v>Model_44</v>
      </c>
      <c r="B41" s="1" t="s">
        <v>153</v>
      </c>
      <c r="C41" s="4">
        <f>ABS((C$35-C4)/C$35)</f>
        <v>0.87706449031829836</v>
      </c>
      <c r="D41" s="4">
        <f>ABS((D$35-D4)/D$35)</f>
        <v>0</v>
      </c>
      <c r="E41" s="4">
        <f>ABS((E$35-E4)/E$35)</f>
        <v>0.95285051564375556</v>
      </c>
      <c r="F41" s="4">
        <f>ABS((F$35-F4)/F$35)</f>
        <v>0.77332090958952937</v>
      </c>
      <c r="G41" s="4">
        <f>ABS((G$35-G4)/G$35)</f>
        <v>0.47631116708119836</v>
      </c>
      <c r="H41" s="4">
        <f>ABS((H$35-H4)/H$35)</f>
        <v>0</v>
      </c>
      <c r="I41" s="4">
        <f>ABS((I$35-I4)/I$35)</f>
        <v>0.13978853225708007</v>
      </c>
      <c r="J41" s="4">
        <f>ABS((J$35-J4)/J$35)</f>
        <v>0.50816899538040206</v>
      </c>
      <c r="K41" s="4">
        <f>ABS((K$35-K4)/K$35)</f>
        <v>1.046533425649</v>
      </c>
      <c r="L41" s="4">
        <f>ABS((L$35-L4)/L$35)</f>
        <v>0</v>
      </c>
      <c r="M41" s="4">
        <f>ABS((M$35-M4)/M$35)</f>
        <v>0.47516961892445936</v>
      </c>
      <c r="N41" s="4">
        <f>ABS((N$35-N4)/N$35)</f>
        <v>9.5430672168732023E-2</v>
      </c>
      <c r="O41" s="15">
        <f t="shared" si="14"/>
        <v>0.59384870300138382</v>
      </c>
      <c r="P41" s="6">
        <f>B4</f>
        <v>0.57066440582275302</v>
      </c>
    </row>
    <row r="42" spans="1:17" x14ac:dyDescent="0.35">
      <c r="A42" t="str">
        <f>A5</f>
        <v>Model_47</v>
      </c>
      <c r="B42" s="1" t="s">
        <v>153</v>
      </c>
      <c r="C42" s="4">
        <f>ABS((C$35-C5)/C$35)</f>
        <v>0.10655574798584003</v>
      </c>
      <c r="D42" s="4">
        <f>ABS((D$35-D5)/D$35)</f>
        <v>0</v>
      </c>
      <c r="E42" s="4">
        <f>ABS((E$35-E5)/E$35)</f>
        <v>0.51371955871581665</v>
      </c>
      <c r="F42" s="4">
        <f>ABS((F$35-F5)/F$35)</f>
        <v>0.15713615715503754</v>
      </c>
      <c r="G42" s="4">
        <f>ABS((G$35-G5)/G$35)</f>
        <v>0.39400720596313327</v>
      </c>
      <c r="H42" s="4">
        <f>ABS((H$35-H5)/H$35)</f>
        <v>0</v>
      </c>
      <c r="I42" s="4">
        <f>ABS((I$35-I5)/I$35)</f>
        <v>0.78342280387878438</v>
      </c>
      <c r="J42" s="4">
        <f>ABS((J$35-J5)/J$35)</f>
        <v>0.58959987759590193</v>
      </c>
      <c r="K42" s="4">
        <f>ABS((K$35-K5)/K$35)</f>
        <v>1.320167859395345</v>
      </c>
      <c r="L42" s="4">
        <f>ABS((L$35-L5)/L$35)</f>
        <v>0</v>
      </c>
      <c r="M42" s="4">
        <f>ABS((M$35-M5)/M$35)</f>
        <v>0.11366899808247337</v>
      </c>
      <c r="N42" s="4">
        <f>ABS((N$35-N5)/N$35)</f>
        <v>0.15012717247009211</v>
      </c>
      <c r="O42" s="15">
        <f t="shared" si="14"/>
        <v>0.45871170902693603</v>
      </c>
      <c r="P42" s="6">
        <f>B5</f>
        <v>0.55705809593200595</v>
      </c>
    </row>
    <row r="43" spans="1:17" x14ac:dyDescent="0.35">
      <c r="A43" t="str">
        <f>A6</f>
        <v>Model_65</v>
      </c>
      <c r="B43" s="1" t="s">
        <v>153</v>
      </c>
      <c r="C43" s="4">
        <f>ABS((C$35-C6)/C$35)</f>
        <v>0.94864988327026389</v>
      </c>
      <c r="D43" s="4">
        <f>ABS((D$35-D6)/D$35)</f>
        <v>0</v>
      </c>
      <c r="E43" s="4">
        <f>ABS((E$35-E6)/E$35)</f>
        <v>0.47378004590670331</v>
      </c>
      <c r="F43" s="4">
        <f>ABS((F$35-F6)/F$35)</f>
        <v>0.16832822561263991</v>
      </c>
      <c r="G43" s="4">
        <f>ABS((G$35-G6)/G$35)</f>
        <v>0.61706050237019827</v>
      </c>
      <c r="H43" s="4">
        <f>ABS((H$35-H6)/H$35)</f>
        <v>0</v>
      </c>
      <c r="I43" s="4">
        <f>ABS((I$35-I6)/I$35)</f>
        <v>7.108592987060014E-3</v>
      </c>
      <c r="J43" s="4">
        <f>ABS((J$35-J6)/J$35)</f>
        <v>0.34635400772094804</v>
      </c>
      <c r="K43" s="4">
        <f>ABS((K$35-K6)/K$35)</f>
        <v>0.22245367368062338</v>
      </c>
      <c r="L43" s="4">
        <f>ABS((L$35-L6)/L$35)</f>
        <v>0</v>
      </c>
      <c r="M43" s="4">
        <f>ABS((M$35-M6)/M$35)</f>
        <v>0.72190409898757935</v>
      </c>
      <c r="N43" s="4">
        <f>ABS((N$35-N6)/N$35)</f>
        <v>0.50622734427452198</v>
      </c>
      <c r="O43" s="15">
        <f t="shared" si="14"/>
        <v>0.44576293053450428</v>
      </c>
      <c r="P43" s="6">
        <f>B6</f>
        <v>0.56245523691177302</v>
      </c>
    </row>
    <row r="44" spans="1:17" x14ac:dyDescent="0.35">
      <c r="A44" t="str">
        <f>A7</f>
        <v>Model_91</v>
      </c>
      <c r="B44" s="1" t="s">
        <v>153</v>
      </c>
      <c r="C44" s="4">
        <f>ABS((C$35-C7)/C$35)</f>
        <v>0.33187422752380397</v>
      </c>
      <c r="D44" s="4">
        <f>ABS((D$35-D7)/D$35)</f>
        <v>0</v>
      </c>
      <c r="E44" s="4">
        <f>ABS((E$35-E7)/E$35)</f>
        <v>0.73415323098500018</v>
      </c>
      <c r="F44" s="4">
        <f>ABS((F$35-F7)/F$35)</f>
        <v>1.4869555830957504E-2</v>
      </c>
      <c r="G44" s="4">
        <f>ABS((G$35-G7)/G$35)</f>
        <v>1.0499019622802666</v>
      </c>
      <c r="H44" s="4">
        <f>ABS((H$35-H7)/H$35)</f>
        <v>0</v>
      </c>
      <c r="I44" s="4">
        <f>ABS((I$35-I7)/I$35)</f>
        <v>0.39937863349914798</v>
      </c>
      <c r="J44" s="4">
        <f>ABS((J$35-J7)/J$35)</f>
        <v>0.35268086194992199</v>
      </c>
      <c r="K44" s="4">
        <f>ABS((K$35-K7)/K$35)</f>
        <v>0.31708614031473842</v>
      </c>
      <c r="L44" s="4">
        <f>ABS((L$35-L7)/L$35)</f>
        <v>0</v>
      </c>
      <c r="M44" s="4">
        <f>ABS((M$35-M7)/M$35)</f>
        <v>0.92611676454544123</v>
      </c>
      <c r="N44" s="4">
        <f>ABS((N$35-N7)/N$35)</f>
        <v>0.23103863000869795</v>
      </c>
      <c r="O44" s="15">
        <f t="shared" si="14"/>
        <v>0.48412222299310831</v>
      </c>
      <c r="P44" s="6">
        <f>B7</f>
        <v>0.55159640312194802</v>
      </c>
    </row>
    <row r="45" spans="1:17" x14ac:dyDescent="0.35">
      <c r="A45" t="str">
        <f>A8</f>
        <v>Model_98</v>
      </c>
      <c r="B45" s="1" t="s">
        <v>153</v>
      </c>
      <c r="C45" s="4">
        <f>ABS((C$35-C8)/C$35)</f>
        <v>0.40131683349609404</v>
      </c>
      <c r="D45" s="4">
        <f>ABS((D$35-D8)/D$35)</f>
        <v>0</v>
      </c>
      <c r="E45" s="4">
        <f>ABS((E$35-E8)/E$35)</f>
        <v>0.4881584048271167</v>
      </c>
      <c r="F45" s="4">
        <f>ABS((F$35-F8)/F$35)</f>
        <v>0.20647732913494254</v>
      </c>
      <c r="G45" s="4">
        <f>ABS((G$35-G8)/G$35)</f>
        <v>0.29242873191833496</v>
      </c>
      <c r="H45" s="4">
        <f>ABS((H$35-H8)/H$35)</f>
        <v>0</v>
      </c>
      <c r="I45" s="4">
        <f>ABS((I$35-I8)/I$35)</f>
        <v>0.80143762826919551</v>
      </c>
      <c r="J45" s="4">
        <f>ABS((J$35-J8)/J$35)</f>
        <v>0.69486099481582797</v>
      </c>
      <c r="K45" s="4">
        <f>ABS((K$35-K8)/K$35)</f>
        <v>1.3426215648651116</v>
      </c>
      <c r="L45" s="4">
        <f>ABS((L$35-L8)/L$35)</f>
        <v>0</v>
      </c>
      <c r="M45" s="4">
        <f>ABS((M$35-M8)/M$35)</f>
        <v>0.32286294301351326</v>
      </c>
      <c r="N45" s="4">
        <f>ABS((N$35-N8)/N$35)</f>
        <v>7.2322626113891602</v>
      </c>
      <c r="O45" s="15">
        <f t="shared" si="14"/>
        <v>1.309158560192144</v>
      </c>
      <c r="P45" s="6">
        <f>B8</f>
        <v>0.55887639522552401</v>
      </c>
    </row>
    <row r="46" spans="1:17" x14ac:dyDescent="0.35">
      <c r="A46" t="str">
        <f>A9</f>
        <v>Model_103</v>
      </c>
      <c r="B46" s="1" t="s">
        <v>153</v>
      </c>
      <c r="C46" s="4">
        <f>ABS((C$35-C9)/C$35)</f>
        <v>0.49976787567138603</v>
      </c>
      <c r="D46" s="4">
        <f>ABS((D$35-D9)/D$35)</f>
        <v>0</v>
      </c>
      <c r="E46" s="4">
        <f>ABS((E$35-E9)/E$35)</f>
        <v>0.65401910245418582</v>
      </c>
      <c r="F46" s="4">
        <f>ABS((F$35-F9)/F$35)</f>
        <v>0.62693363428116</v>
      </c>
      <c r="G46" s="4">
        <f>ABS((G$35-G9)/G$35)</f>
        <v>7.7509880065932775E-3</v>
      </c>
      <c r="H46" s="4">
        <f>ABS((H$35-H9)/H$35)</f>
        <v>0</v>
      </c>
      <c r="I46" s="4">
        <f>ABS((I$35-I9)/I$35)</f>
        <v>0.21274166107178</v>
      </c>
      <c r="J46" s="4">
        <f>ABS((J$35-J9)/J$35)</f>
        <v>0.41859722137451205</v>
      </c>
      <c r="K46" s="4">
        <f>ABS((K$35-K9)/K$35)</f>
        <v>0.89128212134043372</v>
      </c>
      <c r="L46" s="4">
        <f>ABS((L$35-L9)/L$35)</f>
        <v>0</v>
      </c>
      <c r="M46" s="4">
        <f>ABS((M$35-M9)/M$35)</f>
        <v>0.45234700043996195</v>
      </c>
      <c r="N46" s="4">
        <f>ABS((N$35-N9)/N$35)</f>
        <v>7.7082748413085795</v>
      </c>
      <c r="O46" s="15">
        <f t="shared" si="14"/>
        <v>1.2746349384387325</v>
      </c>
      <c r="P46" s="6">
        <f>B9</f>
        <v>0.558338522911071</v>
      </c>
    </row>
    <row r="47" spans="1:17" x14ac:dyDescent="0.35">
      <c r="A47" t="str">
        <f>A10</f>
        <v>Model_105</v>
      </c>
      <c r="B47" s="1" t="s">
        <v>153</v>
      </c>
      <c r="C47" s="4">
        <f>ABS((C$35-C10)/C$35)</f>
        <v>0.77021293640136612</v>
      </c>
      <c r="D47" s="4">
        <f>ABS((D$35-D10)/D$35)</f>
        <v>0</v>
      </c>
      <c r="E47" s="4">
        <f>ABS((E$35-E10)/E$35)</f>
        <v>0.50070142745971746</v>
      </c>
      <c r="F47" s="4">
        <f>ABS((F$35-F10)/F$35)</f>
        <v>0.74005293101072511</v>
      </c>
      <c r="G47" s="4">
        <f>ABS((G$35-G10)/G$35)</f>
        <v>0.93563653031984961</v>
      </c>
      <c r="H47" s="4">
        <f>ABS((H$35-H10)/H$35)</f>
        <v>0</v>
      </c>
      <c r="I47" s="4">
        <f>ABS((I$35-I10)/I$35)</f>
        <v>0.17388277053833204</v>
      </c>
      <c r="J47" s="4">
        <f>ABS((J$35-J10)/J$35)</f>
        <v>0.43099093437195002</v>
      </c>
      <c r="K47" s="4">
        <f>ABS((K$35-K10)/K$35)</f>
        <v>1.6283833980560301</v>
      </c>
      <c r="L47" s="4">
        <f>ABS((L$35-L10)/L$35)</f>
        <v>0</v>
      </c>
      <c r="M47" s="4">
        <f>ABS((M$35-M10)/M$35)</f>
        <v>7.0720752080279947E-2</v>
      </c>
      <c r="N47" s="4">
        <f>ABS((N$35-N10)/N$35)</f>
        <v>6.1040687561034996</v>
      </c>
      <c r="O47" s="15">
        <f t="shared" si="14"/>
        <v>1.2616278262601943</v>
      </c>
      <c r="P47" s="6">
        <f>B10</f>
        <v>0.56337517499923695</v>
      </c>
    </row>
    <row r="48" spans="1:17" x14ac:dyDescent="0.35">
      <c r="A48" t="str">
        <f>A11</f>
        <v>Model_109</v>
      </c>
      <c r="B48" s="1" t="s">
        <v>153</v>
      </c>
      <c r="C48" s="4">
        <f>ABS((C$35-C11)/C$35)</f>
        <v>0.87263475656509404</v>
      </c>
      <c r="D48" s="4">
        <f>ABS((D$35-D11)/D$35)</f>
        <v>0</v>
      </c>
      <c r="E48" s="4">
        <f>ABS((E$35-E11)/E$35)</f>
        <v>0.62128897507985492</v>
      </c>
      <c r="F48" s="4">
        <f>ABS((F$35-F11)/F$35)</f>
        <v>0.84780291095376026</v>
      </c>
      <c r="G48" s="4">
        <f>ABS((G$35-G11)/G$35)</f>
        <v>0.40512379010518501</v>
      </c>
      <c r="H48" s="4">
        <f>ABS((H$35-H11)/H$35)</f>
        <v>0</v>
      </c>
      <c r="I48" s="4">
        <f>ABS((I$35-I11)/I$35)</f>
        <v>0.33667087554931607</v>
      </c>
      <c r="J48" s="4">
        <f>ABS((J$35-J11)/J$35)</f>
        <v>1.8275837898254199</v>
      </c>
      <c r="K48" s="4">
        <f>ABS((K$35-K11)/K$35)</f>
        <v>0.66755263010660004</v>
      </c>
      <c r="L48" s="4">
        <f>ABS((L$35-L11)/L$35)</f>
        <v>0</v>
      </c>
      <c r="M48" s="4">
        <f>ABS((M$35-M11)/M$35)</f>
        <v>0.5825979312260946</v>
      </c>
      <c r="N48" s="4">
        <f>ABS((N$35-N11)/N$35)</f>
        <v>0.18103349208831798</v>
      </c>
      <c r="O48" s="15">
        <f t="shared" si="14"/>
        <v>0.70469879461107143</v>
      </c>
      <c r="P48" s="6">
        <f>B11</f>
        <v>0.55277490615844704</v>
      </c>
      <c r="Q48" s="12"/>
    </row>
    <row r="49" spans="1:17" x14ac:dyDescent="0.35">
      <c r="A49" t="str">
        <f>A12</f>
        <v>Model_112</v>
      </c>
      <c r="B49" s="1" t="s">
        <v>153</v>
      </c>
      <c r="C49" s="4">
        <f>ABS((C$35-C12)/C$35)</f>
        <v>0.50355792045593406</v>
      </c>
      <c r="D49" s="4">
        <f>ABS((D$35-D12)/D$35)</f>
        <v>0</v>
      </c>
      <c r="E49" s="4">
        <f>ABS((E$35-E12)/E$35)</f>
        <v>0.95936501026153354</v>
      </c>
      <c r="F49" s="4">
        <f>ABS((F$35-F12)/F$35)</f>
        <v>2.7890642881393246</v>
      </c>
      <c r="G49" s="4">
        <f>ABS((G$35-G12)/G$35)</f>
        <v>8.3404382069915961E-3</v>
      </c>
      <c r="H49" s="4">
        <f>ABS((H$35-H12)/H$35)</f>
        <v>0</v>
      </c>
      <c r="I49" s="4">
        <f>ABS((I$35-I12)/I$35)</f>
        <v>0.45359787940979202</v>
      </c>
      <c r="J49" s="4">
        <f>ABS((J$35-J12)/J$35)</f>
        <v>0.78375855088234003</v>
      </c>
      <c r="K49" s="4">
        <f>ABS((K$35-K12)/K$35)</f>
        <v>0.30417990684509172</v>
      </c>
      <c r="L49" s="4">
        <f>ABS((L$35-L12)/L$35)</f>
        <v>0</v>
      </c>
      <c r="M49" s="4">
        <f>ABS((M$35-M12)/M$35)</f>
        <v>0.70684985319773397</v>
      </c>
      <c r="N49" s="4">
        <f>ABS((N$35-N12)/N$35)</f>
        <v>0.67308354377746604</v>
      </c>
      <c r="O49" s="15">
        <f t="shared" si="14"/>
        <v>0.79797748790846745</v>
      </c>
      <c r="P49" s="6">
        <f>B12</f>
        <v>0.55753004550933805</v>
      </c>
      <c r="Q49" s="12"/>
    </row>
    <row r="50" spans="1:17" x14ac:dyDescent="0.35">
      <c r="A50" t="str">
        <f>A13</f>
        <v>Model_130</v>
      </c>
      <c r="B50" s="1" t="s">
        <v>153</v>
      </c>
      <c r="C50" s="4">
        <f>ABS((C$35-C13)/C$35)</f>
        <v>1.0037302486598492</v>
      </c>
      <c r="D50" s="4">
        <f>ABS((D$35-D13)/D$35)</f>
        <v>0</v>
      </c>
      <c r="E50" s="4">
        <f>ABS((E$35-E13)/E$35)</f>
        <v>0.40770645936330169</v>
      </c>
      <c r="F50" s="4">
        <f>ABS((F$35-F13)/F$35)</f>
        <v>2.4787335991859245</v>
      </c>
      <c r="G50" s="4">
        <f>ABS((G$35-G13)/G$35)</f>
        <v>0.22764762242635003</v>
      </c>
      <c r="H50" s="4">
        <f>ABS((H$35-H13)/H$35)</f>
        <v>0</v>
      </c>
      <c r="I50" s="4">
        <f>ABS((I$35-I13)/I$35)</f>
        <v>0.83890300989151001</v>
      </c>
      <c r="J50" s="4">
        <f>ABS((J$35-J13)/J$35)</f>
        <v>0.30828547477722201</v>
      </c>
      <c r="K50" s="4">
        <f>ABS((K$35-K13)/K$35)</f>
        <v>7.2656631469726715E-2</v>
      </c>
      <c r="L50" s="4">
        <f>ABS((L$35-L13)/L$35)</f>
        <v>0</v>
      </c>
      <c r="M50" s="4">
        <f>ABS((M$35-M13)/M$35)</f>
        <v>0.41669336954752012</v>
      </c>
      <c r="N50" s="4">
        <f>ABS((N$35-N13)/N$35)</f>
        <v>0.28671568632125999</v>
      </c>
      <c r="O50" s="15">
        <f t="shared" si="14"/>
        <v>0.67123023351585154</v>
      </c>
      <c r="P50" s="6">
        <f>B13</f>
        <v>0.55956304073333696</v>
      </c>
      <c r="Q50" s="12"/>
    </row>
    <row r="51" spans="1:17" x14ac:dyDescent="0.35">
      <c r="A51" t="str">
        <f>A14</f>
        <v>Model_152</v>
      </c>
      <c r="B51" s="1" t="s">
        <v>153</v>
      </c>
      <c r="C51" s="4">
        <f>ABS((C$35-C14)/C$35)</f>
        <v>3.491811752319194E-2</v>
      </c>
      <c r="D51" s="4">
        <f>ABS((D$35-D14)/D$35)</f>
        <v>0</v>
      </c>
      <c r="E51" s="4">
        <f>ABS((E$35-E14)/E$35)</f>
        <v>0.13170238335927492</v>
      </c>
      <c r="F51" s="4">
        <f>ABS((F$35-F14)/F$35)</f>
        <v>0.54983580857515502</v>
      </c>
      <c r="G51" s="4">
        <f>ABS((G$35-G14)/G$35)</f>
        <v>0.52133035659790006</v>
      </c>
      <c r="H51" s="4">
        <f>ABS((H$35-H14)/H$35)</f>
        <v>0</v>
      </c>
      <c r="I51" s="4">
        <f>ABS((I$35-I14)/I$35)</f>
        <v>9.4077777862547937E-2</v>
      </c>
      <c r="J51" s="4">
        <f>ABS((J$35-J14)/J$35)</f>
        <v>1.1824152469635001</v>
      </c>
      <c r="K51" s="4">
        <f>ABS((K$35-K14)/K$35)</f>
        <v>0.56167984008789007</v>
      </c>
      <c r="L51" s="4">
        <f>ABS((L$35-L14)/L$35)</f>
        <v>0</v>
      </c>
      <c r="M51" s="4">
        <f>ABS((M$35-M14)/M$35)</f>
        <v>0.6358076731363933</v>
      </c>
      <c r="N51" s="4">
        <f>ABS((N$35-N14)/N$35)</f>
        <v>0.33535009622573997</v>
      </c>
      <c r="O51" s="15">
        <f t="shared" si="14"/>
        <v>0.44967970003684371</v>
      </c>
      <c r="P51" s="6">
        <f>B14</f>
        <v>0.55506360530853205</v>
      </c>
      <c r="Q51" s="12"/>
    </row>
    <row r="52" spans="1:17" x14ac:dyDescent="0.35">
      <c r="A52" t="str">
        <f>A15</f>
        <v>Model_177</v>
      </c>
      <c r="B52" s="1" t="s">
        <v>153</v>
      </c>
      <c r="C52" s="4">
        <f>ABS((C$35-C15)/C$35)</f>
        <v>0.92247593998908994</v>
      </c>
      <c r="D52" s="4">
        <f>ABS((D$35-D15)/D$35)</f>
        <v>0</v>
      </c>
      <c r="E52" s="4">
        <f>ABS((E$35-E15)/E$35)</f>
        <v>0.82181446005900749</v>
      </c>
      <c r="F52" s="4">
        <f>ABS((F$35-F15)/F$35)</f>
        <v>0.87794417887926135</v>
      </c>
      <c r="G52" s="4">
        <f>ABS((G$35-G15)/G$35)</f>
        <v>0.38858493169148672</v>
      </c>
      <c r="H52" s="4">
        <f>ABS((H$35-H15)/H$35)</f>
        <v>0</v>
      </c>
      <c r="I52" s="4">
        <f>ABS((I$35-I15)/I$35)</f>
        <v>1.0867977142335939E-2</v>
      </c>
      <c r="J52" s="4">
        <f>ABS((J$35-J15)/J$35)</f>
        <v>0.26060932874679599</v>
      </c>
      <c r="K52" s="4">
        <f>ABS((K$35-K15)/K$35)</f>
        <v>0.40235137939453008</v>
      </c>
      <c r="L52" s="4">
        <f>ABS((L$35-L15)/L$35)</f>
        <v>0</v>
      </c>
      <c r="M52" s="4">
        <f>ABS((M$35-M15)/M$35)</f>
        <v>0.64585431416829464</v>
      </c>
      <c r="N52" s="4">
        <f>ABS((N$35-N15)/N$35)</f>
        <v>0.572412610054018</v>
      </c>
      <c r="O52" s="15">
        <f t="shared" si="14"/>
        <v>0.54476834668053564</v>
      </c>
      <c r="P52" s="6">
        <f>B15</f>
        <v>0.56338763236999501</v>
      </c>
    </row>
    <row r="53" spans="1:17" x14ac:dyDescent="0.35">
      <c r="A53" t="str">
        <f>A16</f>
        <v>Model_191</v>
      </c>
      <c r="B53" s="1" t="s">
        <v>153</v>
      </c>
      <c r="C53" s="4">
        <f>ABS((C$35-C16)/C$35)</f>
        <v>0.85450509786605833</v>
      </c>
      <c r="D53" s="4">
        <f>ABS((D$35-D16)/D$35)</f>
        <v>0</v>
      </c>
      <c r="E53" s="4">
        <f>ABS((E$35-E16)/E$35)</f>
        <v>0.41041201353073165</v>
      </c>
      <c r="F53" s="4">
        <f>ABS((F$35-F16)/F$35)</f>
        <v>3.2389124631881492</v>
      </c>
      <c r="G53" s="4">
        <f>ABS((G$35-G16)/G$35)</f>
        <v>0.32181056340535336</v>
      </c>
      <c r="H53" s="4">
        <f>ABS((H$35-H16)/H$35)</f>
        <v>0</v>
      </c>
      <c r="I53" s="4">
        <f>ABS((I$35-I16)/I$35)</f>
        <v>0.80640100240707402</v>
      </c>
      <c r="J53" s="4">
        <f>ABS((J$35-J16)/J$35)</f>
        <v>8.7752342224121982E-2</v>
      </c>
      <c r="K53" s="4">
        <f>ABS((K$35-K16)/K$35)</f>
        <v>0.18996524810791163</v>
      </c>
      <c r="L53" s="4">
        <f>ABS((L$35-L16)/L$35)</f>
        <v>0</v>
      </c>
      <c r="M53" s="4">
        <f>ABS((M$35-M16)/M$35)</f>
        <v>0.27819633483886658</v>
      </c>
      <c r="N53" s="4">
        <f>ABS((N$35-N16)/N$35)</f>
        <v>0.76688033342361606</v>
      </c>
      <c r="O53" s="15">
        <f t="shared" si="14"/>
        <v>0.77275948877687595</v>
      </c>
      <c r="P53" s="6">
        <f>B16</f>
        <v>0.56356942653655995</v>
      </c>
    </row>
    <row r="54" spans="1:17" x14ac:dyDescent="0.35">
      <c r="A54" t="str">
        <f>A17</f>
        <v>Model_199</v>
      </c>
      <c r="B54" s="1" t="s">
        <v>153</v>
      </c>
      <c r="C54" s="4">
        <f>ABS((C$35-C17)/C$35)</f>
        <v>1.2424158096313398</v>
      </c>
      <c r="D54" s="4">
        <f>ABS((D$35-D17)/D$35)</f>
        <v>0</v>
      </c>
      <c r="E54" s="4">
        <f>ABS((E$35-E17)/E$35)</f>
        <v>1.3139733076095501</v>
      </c>
      <c r="F54" s="4">
        <f>ABS((F$35-F17)/F$35)</f>
        <v>0.79432660341262751</v>
      </c>
      <c r="G54" s="4">
        <f>ABS((G$35-G17)/G$35)</f>
        <v>0.23877588907877501</v>
      </c>
      <c r="H54" s="4">
        <f>ABS((H$35-H17)/H$35)</f>
        <v>0</v>
      </c>
      <c r="I54" s="4">
        <f>ABS((I$35-I17)/I$35)</f>
        <v>0.84136514663696327</v>
      </c>
      <c r="J54" s="4">
        <f>ABS((J$35-J17)/J$35)</f>
        <v>4.6006441116331898E-2</v>
      </c>
      <c r="K54" s="4">
        <f>ABS((K$35-K17)/K$35)</f>
        <v>0.89593137303988157</v>
      </c>
      <c r="L54" s="4">
        <f>ABS((L$35-L17)/L$35)</f>
        <v>0</v>
      </c>
      <c r="M54" s="4">
        <f>ABS((M$35-M17)/M$35)</f>
        <v>0.33169492085775332</v>
      </c>
      <c r="N54" s="4">
        <f>ABS((N$35-N17)/N$35)</f>
        <v>0.71821236610412598</v>
      </c>
      <c r="O54" s="15">
        <f t="shared" si="14"/>
        <v>0.71363353972081656</v>
      </c>
      <c r="P54" s="6">
        <f>B17</f>
        <v>0.56514298915863004</v>
      </c>
    </row>
    <row r="55" spans="1:17" x14ac:dyDescent="0.35">
      <c r="A55" t="str">
        <f>A18</f>
        <v>Model_202</v>
      </c>
      <c r="B55" s="1" t="s">
        <v>153</v>
      </c>
      <c r="C55" s="4">
        <f>ABS((C$35-C18)/C$35)</f>
        <v>0.36884641647338795</v>
      </c>
      <c r="D55" s="4">
        <f>ABS((D$35-D18)/D$35)</f>
        <v>0</v>
      </c>
      <c r="E55" s="4">
        <f>ABS((E$35-E18)/E$35)</f>
        <v>0.71725245316823327</v>
      </c>
      <c r="F55" s="4">
        <f>ABS((F$35-F18)/F$35)</f>
        <v>0.28326132893562256</v>
      </c>
      <c r="G55" s="4">
        <f>ABS((G$35-G18)/G$35)</f>
        <v>0.76189273595809992</v>
      </c>
      <c r="H55" s="4">
        <f>ABS((H$35-H18)/H$35)</f>
        <v>0</v>
      </c>
      <c r="I55" s="4">
        <f>ABS((I$35-I18)/I$35)</f>
        <v>0.43092536926269603</v>
      </c>
      <c r="J55" s="4">
        <f>ABS((J$35-J18)/J$35)</f>
        <v>1.9719436168670601</v>
      </c>
      <c r="K55" s="4">
        <f>ABS((K$35-K18)/K$35)</f>
        <v>0.1688800652821866</v>
      </c>
      <c r="L55" s="4">
        <f>ABS((L$35-L18)/L$35)</f>
        <v>0</v>
      </c>
      <c r="M55" s="4">
        <f>ABS((M$35-M18)/M$35)</f>
        <v>0.2525130112965866</v>
      </c>
      <c r="N55" s="4">
        <f>ABS((N$35-N18)/N$35)</f>
        <v>0.59224072098731995</v>
      </c>
      <c r="O55" s="15">
        <f t="shared" si="14"/>
        <v>0.61641730202568812</v>
      </c>
      <c r="P55" s="6">
        <f>B18</f>
        <v>0.55384767055511397</v>
      </c>
    </row>
    <row r="56" spans="1:17" x14ac:dyDescent="0.35">
      <c r="A56" t="str">
        <f>A19</f>
        <v>Model_204</v>
      </c>
      <c r="B56" s="1" t="s">
        <v>153</v>
      </c>
      <c r="C56" s="4">
        <f>ABS((C$35-C19)/C$35)</f>
        <v>0.78399896621704201</v>
      </c>
      <c r="D56" s="4">
        <f>ABS((D$35-D19)/D$35)</f>
        <v>0</v>
      </c>
      <c r="E56" s="4">
        <f>ABS((E$35-E19)/E$35)</f>
        <v>0.59709361195564337</v>
      </c>
      <c r="F56" s="4">
        <f>ABS((F$35-F19)/F$35)</f>
        <v>0.63363293558359257</v>
      </c>
      <c r="G56" s="4">
        <f>ABS((G$35-G19)/G$35)</f>
        <v>0.84367720286050008</v>
      </c>
      <c r="H56" s="4">
        <f>ABS((H$35-H19)/H$35)</f>
        <v>0</v>
      </c>
      <c r="I56" s="4">
        <f>ABS((I$35-I19)/I$35)</f>
        <v>1.3704601287841762</v>
      </c>
      <c r="J56" s="4">
        <f>ABS((J$35-J19)/J$35)</f>
        <v>0.48043006658554199</v>
      </c>
      <c r="K56" s="4">
        <f>ABS((K$35-K19)/K$35)</f>
        <v>0.59188334147135324</v>
      </c>
      <c r="L56" s="4">
        <f>ABS((L$35-L19)/L$35)</f>
        <v>0</v>
      </c>
      <c r="M56" s="4">
        <f>ABS((M$35-M19)/M$35)</f>
        <v>0.58835188547770201</v>
      </c>
      <c r="N56" s="4">
        <f>ABS((N$35-N19)/N$35)</f>
        <v>0.46253383159637596</v>
      </c>
      <c r="O56" s="15">
        <f t="shared" si="14"/>
        <v>0.7057846633924364</v>
      </c>
      <c r="P56" s="6">
        <f>B19</f>
        <v>0.56483787298202504</v>
      </c>
    </row>
    <row r="57" spans="1:17" x14ac:dyDescent="0.35">
      <c r="A57" t="str">
        <f>A20</f>
        <v>Model_213</v>
      </c>
      <c r="B57" s="1" t="s">
        <v>153</v>
      </c>
      <c r="C57" s="4">
        <f>ABS((C$35-C20)/C$35)</f>
        <v>0.17171239852905201</v>
      </c>
      <c r="D57" s="4">
        <f>ABS((D$35-D20)/D$35)</f>
        <v>0</v>
      </c>
      <c r="E57" s="4">
        <f>ABS((E$35-E20)/E$35)</f>
        <v>0.78906688590844498</v>
      </c>
      <c r="F57" s="4">
        <f>ABS((F$35-F20)/F$35)</f>
        <v>0.53206852078438005</v>
      </c>
      <c r="G57" s="4">
        <f>ABS((G$35-G20)/G$35)</f>
        <v>0.23474470774332667</v>
      </c>
      <c r="H57" s="4">
        <f>ABS((H$35-H20)/H$35)</f>
        <v>0</v>
      </c>
      <c r="I57" s="4">
        <f>ABS((I$35-I20)/I$35)</f>
        <v>0.19603652954101597</v>
      </c>
      <c r="J57" s="4">
        <f>ABS((J$35-J20)/J$35)</f>
        <v>8.0207586288441046E-3</v>
      </c>
      <c r="K57" s="4">
        <f>ABS((K$35-K20)/K$35)</f>
        <v>0.88656914234161377</v>
      </c>
      <c r="L57" s="4">
        <f>ABS((L$35-L20)/L$35)</f>
        <v>0</v>
      </c>
      <c r="M57" s="4">
        <f>ABS((M$35-M20)/M$35)</f>
        <v>0.82448323567708337</v>
      </c>
      <c r="N57" s="4">
        <f>ABS((N$35-N20)/N$35)</f>
        <v>1.48230004310606</v>
      </c>
      <c r="O57" s="15">
        <f t="shared" si="14"/>
        <v>0.56944469136220244</v>
      </c>
      <c r="P57" s="6">
        <f>B20</f>
        <v>0.55020296573638905</v>
      </c>
    </row>
    <row r="58" spans="1:17" x14ac:dyDescent="0.35">
      <c r="A58" t="str">
        <f>A21</f>
        <v>Model_220</v>
      </c>
      <c r="B58" s="1" t="s">
        <v>153</v>
      </c>
      <c r="C58" s="4">
        <f>ABS((C$35-C21)/C$35)</f>
        <v>1.0436151504516602</v>
      </c>
      <c r="D58" s="4">
        <f>ABS((D$35-D21)/D$35)</f>
        <v>0</v>
      </c>
      <c r="E58" s="4">
        <f>ABS((E$35-E21)/E$35)</f>
        <v>0.40274034937222836</v>
      </c>
      <c r="F58" s="4">
        <f>ABS((F$35-F21)/F$35)</f>
        <v>0.56568922847509506</v>
      </c>
      <c r="G58" s="4">
        <f>ABS((G$35-G21)/G$35)</f>
        <v>0.42570555210113664</v>
      </c>
      <c r="H58" s="4">
        <f>ABS((H$35-H21)/H$35)</f>
        <v>0</v>
      </c>
      <c r="I58" s="4">
        <f>ABS((I$35-I21)/I$35)</f>
        <v>0.21436462402343998</v>
      </c>
      <c r="J58" s="4">
        <f>ABS((J$35-J21)/J$35)</f>
        <v>1.6284053325653001</v>
      </c>
      <c r="K58" s="4">
        <f>ABS((K$35-K21)/K$35)</f>
        <v>1.1345085104306538</v>
      </c>
      <c r="L58" s="4">
        <f>ABS((L$35-L21)/L$35)</f>
        <v>0</v>
      </c>
      <c r="M58" s="4">
        <f>ABS((M$35-M21)/M$35)</f>
        <v>0.58389874299367273</v>
      </c>
      <c r="N58" s="4">
        <f>ABS((N$35-N21)/N$35)</f>
        <v>0.27622127532958807</v>
      </c>
      <c r="O58" s="15">
        <f t="shared" si="14"/>
        <v>0.69723875174919714</v>
      </c>
      <c r="P58" s="6">
        <f>B21</f>
        <v>0.57139945030212402</v>
      </c>
    </row>
    <row r="59" spans="1:17" x14ac:dyDescent="0.35">
      <c r="A59" t="str">
        <f>A22</f>
        <v>Model_235</v>
      </c>
      <c r="B59" s="1" t="s">
        <v>153</v>
      </c>
      <c r="C59" s="4">
        <f>ABS((C$35-C22)/C$35)</f>
        <v>0.36537818908691405</v>
      </c>
      <c r="D59" s="4">
        <f>ABS((D$35-D22)/D$35)</f>
        <v>0</v>
      </c>
      <c r="E59" s="4">
        <f>ABS((E$35-E22)/E$35)</f>
        <v>0.6325067679087325</v>
      </c>
      <c r="F59" s="4">
        <f>ABS((F$35-F22)/F$35)</f>
        <v>0.65364314615726504</v>
      </c>
      <c r="G59" s="4">
        <f>ABS((G$35-G22)/G$35)</f>
        <v>0.43798538049062169</v>
      </c>
      <c r="H59" s="4">
        <f>ABS((H$35-H22)/H$35)</f>
        <v>0</v>
      </c>
      <c r="I59" s="4">
        <f>ABS((I$35-I22)/I$35)</f>
        <v>1.6279851913452119</v>
      </c>
      <c r="J59" s="4">
        <f>ABS((J$35-J22)/J$35)</f>
        <v>1.5752112865447998</v>
      </c>
      <c r="K59" s="4">
        <f>ABS((K$35-K22)/K$35)</f>
        <v>1.0466142147779463</v>
      </c>
      <c r="L59" s="4">
        <f>ABS((L$35-L22)/L$35)</f>
        <v>0</v>
      </c>
      <c r="M59" s="4">
        <f>ABS((M$35-M22)/M$35)</f>
        <v>0.50450964768727669</v>
      </c>
      <c r="N59" s="4">
        <f>ABS((N$35-N22)/N$35)</f>
        <v>1.8263182640075599</v>
      </c>
      <c r="O59" s="15">
        <f t="shared" si="14"/>
        <v>0.96335023200070302</v>
      </c>
      <c r="P59" s="6">
        <f>B22</f>
        <v>0.55563521385192804</v>
      </c>
    </row>
    <row r="60" spans="1:17" x14ac:dyDescent="0.35">
      <c r="A60" t="str">
        <f>A23</f>
        <v>Model_236</v>
      </c>
      <c r="B60" s="1" t="s">
        <v>153</v>
      </c>
      <c r="C60" s="4">
        <f>ABS((C$35-C23)/C$35)</f>
        <v>0.12827472686767399</v>
      </c>
      <c r="D60" s="4">
        <f>ABS((D$35-D23)/D$35)</f>
        <v>0</v>
      </c>
      <c r="E60" s="4">
        <f>ABS((E$35-E23)/E$35)</f>
        <v>0.94827638380229473</v>
      </c>
      <c r="F60" s="4">
        <f>ABS((F$35-F23)/F$35)</f>
        <v>0.37409031391143738</v>
      </c>
      <c r="G60" s="4">
        <f>ABS((G$35-G23)/G$35)</f>
        <v>0.13470260302225837</v>
      </c>
      <c r="H60" s="4">
        <f>ABS((H$35-H23)/H$35)</f>
        <v>0</v>
      </c>
      <c r="I60" s="4">
        <f>ABS((I$35-I23)/I$35)</f>
        <v>0.29610939025879202</v>
      </c>
      <c r="J60" s="4">
        <f>ABS((J$35-J23)/J$35)</f>
        <v>1.4679327011108398</v>
      </c>
      <c r="K60" s="4">
        <f>ABS((K$35-K23)/K$35)</f>
        <v>0.20763222376505505</v>
      </c>
      <c r="L60" s="4">
        <f>ABS((L$35-L23)/L$35)</f>
        <v>0</v>
      </c>
      <c r="M60" s="4">
        <f>ABS((M$35-M23)/M$35)</f>
        <v>0.33872997760772733</v>
      </c>
      <c r="N60" s="4">
        <f>ABS((N$35-N23)/N$35)</f>
        <v>0.84009440243244182</v>
      </c>
      <c r="O60" s="15">
        <f t="shared" si="14"/>
        <v>0.52620474697539121</v>
      </c>
      <c r="P60" s="6">
        <f>B23</f>
        <v>0.55408227443695002</v>
      </c>
    </row>
    <row r="61" spans="1:17" x14ac:dyDescent="0.35">
      <c r="A61" t="str">
        <f>A24</f>
        <v>Model_270</v>
      </c>
      <c r="B61" s="1" t="s">
        <v>153</v>
      </c>
      <c r="C61" s="4">
        <f>ABS((C$35-C24)/C$35)</f>
        <v>0.92224216461181607</v>
      </c>
      <c r="D61" s="4">
        <f>ABS((D$35-D24)/D$35)</f>
        <v>0</v>
      </c>
      <c r="E61" s="4">
        <f>ABS((E$35-E24)/E$35)</f>
        <v>0.44842785596847579</v>
      </c>
      <c r="F61" s="4">
        <f>ABS((F$35-F24)/F$35)</f>
        <v>0.62945360690355501</v>
      </c>
      <c r="G61" s="4">
        <f>ABS((G$35-G24)/G$35)</f>
        <v>0.51781026522318674</v>
      </c>
      <c r="H61" s="4">
        <f>ABS((H$35-H24)/H$35)</f>
        <v>0</v>
      </c>
      <c r="I61" s="4">
        <f>ABS((I$35-I24)/I$35)</f>
        <v>0.21407017707824796</v>
      </c>
      <c r="J61" s="4">
        <f>ABS((J$35-J24)/J$35)</f>
        <v>1.5014529228210005E-2</v>
      </c>
      <c r="K61" s="4">
        <f>ABS((K$35-K24)/K$35)</f>
        <v>1.0681842416524887</v>
      </c>
      <c r="L61" s="4">
        <f>ABS((L$35-L24)/L$35)</f>
        <v>0</v>
      </c>
      <c r="M61" s="4">
        <f>ABS((M$35-M24)/M$35)</f>
        <v>0.46723417441050263</v>
      </c>
      <c r="N61" s="4">
        <f>ABS((N$35-N24)/N$35)</f>
        <v>0.64542055130004794</v>
      </c>
      <c r="O61" s="15">
        <f t="shared" si="14"/>
        <v>0.54753972959739228</v>
      </c>
      <c r="P61" s="6">
        <f>B24</f>
        <v>0.57073503732681197</v>
      </c>
    </row>
    <row r="62" spans="1:17" x14ac:dyDescent="0.35">
      <c r="A62" t="str">
        <f>A25</f>
        <v>Model_276</v>
      </c>
      <c r="B62" s="1" t="s">
        <v>153</v>
      </c>
      <c r="C62" s="4">
        <f>ABS((C$35-C25)/C$35)</f>
        <v>4.7824478149414061E-2</v>
      </c>
      <c r="D62" s="4">
        <f>ABS((D$35-D25)/D$35)</f>
        <v>0</v>
      </c>
      <c r="E62" s="4">
        <f>ABS((E$35-E25)/E$35)</f>
        <v>0.88974012434482597</v>
      </c>
      <c r="F62" s="4">
        <f>ABS((F$35-F25)/F$35)</f>
        <v>9.5115512609482561E-2</v>
      </c>
      <c r="G62" s="4">
        <f>ABS((G$35-G25)/G$35)</f>
        <v>1.1696397463480617</v>
      </c>
      <c r="H62" s="4">
        <f>ABS((H$35-H25)/H$35)</f>
        <v>0</v>
      </c>
      <c r="I62" s="4">
        <f>ABS((I$35-I25)/I$35)</f>
        <v>0.19473037719726793</v>
      </c>
      <c r="J62" s="4">
        <f>ABS((J$35-J25)/J$35)</f>
        <v>0.32664728164672807</v>
      </c>
      <c r="K62" s="4">
        <f>ABS((K$35-K25)/K$35)</f>
        <v>0.37465413411458331</v>
      </c>
      <c r="L62" s="4">
        <f>ABS((L$35-L25)/L$35)</f>
        <v>0</v>
      </c>
      <c r="M62" s="4">
        <f>ABS((M$35-M25)/M$35)</f>
        <v>0.13202699025472006</v>
      </c>
      <c r="N62" s="4">
        <f>ABS((N$35-N25)/N$35)</f>
        <v>0.28788590431213401</v>
      </c>
      <c r="O62" s="15">
        <f t="shared" si="14"/>
        <v>0.39091828321969085</v>
      </c>
      <c r="P62" s="6">
        <f>B25</f>
        <v>0.55136370658874501</v>
      </c>
    </row>
    <row r="63" spans="1:17" x14ac:dyDescent="0.35">
      <c r="A63" t="str">
        <f>A26</f>
        <v>Model_281</v>
      </c>
      <c r="B63" s="1" t="s">
        <v>153</v>
      </c>
      <c r="C63" s="4">
        <f>ABS((C$35-C26)/C$35)</f>
        <v>0.57490272521972607</v>
      </c>
      <c r="D63" s="4">
        <f>ABS((D$35-D26)/D$35)</f>
        <v>0</v>
      </c>
      <c r="E63" s="4">
        <f>ABS((E$35-E26)/E$35)</f>
        <v>0.83296044667561675</v>
      </c>
      <c r="F63" s="4">
        <f>ABS((F$35-F26)/F$35)</f>
        <v>0.16154541075229761</v>
      </c>
      <c r="G63" s="4">
        <f>ABS((G$35-G26)/G$35)</f>
        <v>0.28091406822204501</v>
      </c>
      <c r="H63" s="4">
        <f>ABS((H$35-H26)/H$35)</f>
        <v>0</v>
      </c>
      <c r="I63" s="4">
        <f>ABS((I$35-I26)/I$35)</f>
        <v>0.83673595190048233</v>
      </c>
      <c r="J63" s="4">
        <f>ABS((J$35-J26)/J$35)</f>
        <v>0.58619630336761608</v>
      </c>
      <c r="K63" s="4">
        <f>ABS((K$35-K26)/K$35)</f>
        <v>0.94390867650508881</v>
      </c>
      <c r="L63" s="4">
        <f>ABS((L$35-L26)/L$35)</f>
        <v>0</v>
      </c>
      <c r="M63" s="4">
        <f>ABS((M$35-M26)/M$35)</f>
        <v>0.44816088676452664</v>
      </c>
      <c r="N63" s="4">
        <f>ABS((N$35-N26)/N$35)</f>
        <v>0.54056841135025202</v>
      </c>
      <c r="O63" s="15">
        <f t="shared" si="14"/>
        <v>0.57843254230640562</v>
      </c>
      <c r="P63" s="6">
        <f>B26</f>
        <v>0.55682051181793202</v>
      </c>
    </row>
    <row r="64" spans="1:17" x14ac:dyDescent="0.35">
      <c r="A64" t="str">
        <f>A27</f>
        <v>Model_289</v>
      </c>
      <c r="B64" s="1" t="s">
        <v>153</v>
      </c>
      <c r="C64" s="4">
        <f>ABS((C$35-C27)/C$35)</f>
        <v>1.9796922683715821</v>
      </c>
      <c r="D64" s="4">
        <f>ABS((D$35-D27)/D$35)</f>
        <v>0</v>
      </c>
      <c r="E64" s="4">
        <f>ABS((E$35-E27)/E$35)</f>
        <v>2.4576555093129415</v>
      </c>
      <c r="F64" s="4">
        <f>ABS((F$35-F27)/F$35)</f>
        <v>12.896001577377298</v>
      </c>
      <c r="G64" s="4">
        <f>ABS((G$35-G27)/G$35)</f>
        <v>0.42108631134033175</v>
      </c>
      <c r="H64" s="4">
        <f>ABS((H$35-H27)/H$35)</f>
        <v>0</v>
      </c>
      <c r="I64" s="4">
        <f>ABS((I$35-I27)/I$35)</f>
        <v>0.79703969955444354</v>
      </c>
      <c r="J64" s="4">
        <f>ABS((J$35-J27)/J$35)</f>
        <v>0.58464297652244601</v>
      </c>
      <c r="K64" s="4">
        <f>ABS((K$35-K27)/K$35)</f>
        <v>0.27904812494913839</v>
      </c>
      <c r="L64" s="4">
        <f>ABS((L$35-L27)/L$35)</f>
        <v>0</v>
      </c>
      <c r="M64" s="4">
        <f>ABS((M$35-M27)/M$35)</f>
        <v>1.498532295227332E-2</v>
      </c>
      <c r="N64" s="4">
        <f>ABS((N$35-N27)/N$35)</f>
        <v>0.50494983792304993</v>
      </c>
      <c r="O64" s="15">
        <f t="shared" si="14"/>
        <v>2.2150112920337226</v>
      </c>
      <c r="P64" s="6">
        <f>B27</f>
        <v>0.55957794189453103</v>
      </c>
    </row>
    <row r="65" spans="1:16" x14ac:dyDescent="0.35">
      <c r="A65" t="str">
        <f>A28</f>
        <v>Model_312</v>
      </c>
      <c r="B65" s="1" t="s">
        <v>153</v>
      </c>
      <c r="C65" s="4">
        <f>ABS((C$35-C28)/C$35)</f>
        <v>1.0337012201547622</v>
      </c>
      <c r="D65" s="4">
        <f>ABS((D$35-D28)/D$35)</f>
        <v>0</v>
      </c>
      <c r="E65" s="4">
        <f>ABS((E$35-E28)/E$35)</f>
        <v>0.35042440891265914</v>
      </c>
      <c r="F65" s="4">
        <f>ABS((F$35-F28)/F$35)</f>
        <v>0.32710416615009508</v>
      </c>
      <c r="G65" s="4">
        <f>ABS((G$35-G28)/G$35)</f>
        <v>0.24935221672058003</v>
      </c>
      <c r="H65" s="4">
        <f>ABS((H$35-H28)/H$35)</f>
        <v>0</v>
      </c>
      <c r="I65" s="4">
        <f>ABS((I$35-I28)/I$35)</f>
        <v>0.16716890335083204</v>
      </c>
      <c r="J65" s="4">
        <f>ABS((J$35-J28)/J$35)</f>
        <v>0.73759448528289795</v>
      </c>
      <c r="K65" s="4">
        <f>ABS((K$35-K28)/K$35)</f>
        <v>0.60590140024820849</v>
      </c>
      <c r="L65" s="4">
        <f>ABS((L$35-L28)/L$35)</f>
        <v>0</v>
      </c>
      <c r="M65" s="4">
        <f>ABS((M$35-M28)/M$35)</f>
        <v>0.56914154688517271</v>
      </c>
      <c r="N65" s="4">
        <f>ABS((N$35-N28)/N$35)</f>
        <v>0.22900593280792403</v>
      </c>
      <c r="O65" s="15">
        <f t="shared" si="14"/>
        <v>0.47437714227923689</v>
      </c>
      <c r="P65" s="6">
        <f>B28</f>
        <v>0.57322227954864502</v>
      </c>
    </row>
    <row r="66" spans="1:16" x14ac:dyDescent="0.35">
      <c r="A66" t="str">
        <f>A29</f>
        <v>Model_346</v>
      </c>
      <c r="B66" s="1" t="s">
        <v>153</v>
      </c>
      <c r="C66" s="4">
        <f>ABS((C$35-C29)/C$35)</f>
        <v>0.97348594665527366</v>
      </c>
      <c r="D66" s="4">
        <f>ABS((D$35-D29)/D$35)</f>
        <v>0</v>
      </c>
      <c r="E66" s="4">
        <f>ABS((E$35-E29)/E$35)</f>
        <v>0.66808813313643167</v>
      </c>
      <c r="F66" s="4">
        <f>ABS((F$35-F29)/F$35)</f>
        <v>0.68743048608303248</v>
      </c>
      <c r="G66" s="4">
        <f>ABS((G$35-G29)/G$35)</f>
        <v>0.10644435882568508</v>
      </c>
      <c r="H66" s="4">
        <f>ABS((H$35-H29)/H$35)</f>
        <v>0</v>
      </c>
      <c r="I66" s="4">
        <f>ABS((I$35-I29)/I$35)</f>
        <v>0.15752506256103604</v>
      </c>
      <c r="J66" s="4">
        <f>ABS((J$35-J29)/J$35)</f>
        <v>0.76957581937313202</v>
      </c>
      <c r="K66" s="4">
        <f>ABS((K$35-K29)/K$35)</f>
        <v>0.14302619298299005</v>
      </c>
      <c r="L66" s="4">
        <f>ABS((L$35-L29)/L$35)</f>
        <v>0</v>
      </c>
      <c r="M66" s="4">
        <f>ABS((M$35-M29)/M$35)</f>
        <v>0.83059062560399399</v>
      </c>
      <c r="N66" s="4">
        <f>ABS((N$35-N29)/N$35)</f>
        <v>0.57203280925750599</v>
      </c>
      <c r="O66" s="15">
        <f t="shared" si="14"/>
        <v>0.54535549271989781</v>
      </c>
      <c r="P66" s="6">
        <f>B29</f>
        <v>0.54998046159744196</v>
      </c>
    </row>
    <row r="67" spans="1:16" x14ac:dyDescent="0.35">
      <c r="A67" t="str">
        <f>A30</f>
        <v>Model_349</v>
      </c>
      <c r="B67" s="1" t="s">
        <v>153</v>
      </c>
      <c r="C67" s="4">
        <f>ABS((C$35-C30)/C$35)</f>
        <v>0.46614270210266201</v>
      </c>
      <c r="D67" s="4">
        <f>ABS((D$35-D30)/D$35)</f>
        <v>0</v>
      </c>
      <c r="E67" s="4">
        <f>ABS((E$35-E30)/E$35)</f>
        <v>0.44857744375864173</v>
      </c>
      <c r="F67" s="4">
        <f>ABS((F$35-F30)/F$35)</f>
        <v>0.89126096479594719</v>
      </c>
      <c r="G67" s="4">
        <f>ABS((G$35-G30)/G$35)</f>
        <v>0.28955149650573669</v>
      </c>
      <c r="H67" s="4">
        <f>ABS((H$35-H30)/H$35)</f>
        <v>0</v>
      </c>
      <c r="I67" s="4">
        <f>ABS((I$35-I30)/I$35)</f>
        <v>2.736435317993164</v>
      </c>
      <c r="J67" s="4">
        <f>ABS((J$35-J30)/J$35)</f>
        <v>9.3104839324950994</v>
      </c>
      <c r="K67" s="4">
        <f>ABS((K$35-K30)/K$35)</f>
        <v>0.42333841323852511</v>
      </c>
      <c r="L67" s="4">
        <f>ABS((L$35-L30)/L$35)</f>
        <v>0</v>
      </c>
      <c r="M67" s="4">
        <f>ABS((M$35-M30)/M$35)</f>
        <v>0.64889343579610204</v>
      </c>
      <c r="N67" s="4">
        <f>ABS((N$35-N30)/N$35)</f>
        <v>0.1009048223495479</v>
      </c>
      <c r="O67" s="15">
        <f t="shared" si="14"/>
        <v>1.7017320587817142</v>
      </c>
      <c r="P67" s="6">
        <f>B30</f>
        <v>0.56301450729370095</v>
      </c>
    </row>
    <row r="68" spans="1:16" x14ac:dyDescent="0.35">
      <c r="A68" t="str">
        <f>A31</f>
        <v>Model_368</v>
      </c>
      <c r="B68" s="1" t="s">
        <v>153</v>
      </c>
      <c r="C68" s="4">
        <f>ABS((C$35-C31)/C$35)</f>
        <v>0.44104881286621006</v>
      </c>
      <c r="D68" s="4">
        <f>ABS((D$35-D31)/D$35)</f>
        <v>0</v>
      </c>
      <c r="E68" s="4">
        <f>ABS((E$35-E31)/E$35)</f>
        <v>0.71261762082576752</v>
      </c>
      <c r="F68" s="4">
        <f>ABS((F$35-F31)/F$35)</f>
        <v>9.384946525096749E-2</v>
      </c>
      <c r="G68" s="4">
        <f>ABS((G$35-G31)/G$35)</f>
        <v>1.21630847454071</v>
      </c>
      <c r="H68" s="4">
        <f>ABS((H$35-H31)/H$35)</f>
        <v>0</v>
      </c>
      <c r="I68" s="4">
        <f>ABS((I$35-I31)/I$35)</f>
        <v>0.55954885482787997</v>
      </c>
      <c r="J68" s="4">
        <f>ABS((J$35-J31)/J$35)</f>
        <v>0.78946602344512806</v>
      </c>
      <c r="K68" s="4">
        <f>ABS((K$35-K31)/K$35)</f>
        <v>0.16011428833007665</v>
      </c>
      <c r="L68" s="4">
        <f>ABS((L$35-L31)/L$35)</f>
        <v>0</v>
      </c>
      <c r="M68" s="4">
        <f>ABS((M$35-M31)/M$35)</f>
        <v>0.28449416160583335</v>
      </c>
      <c r="N68" s="4">
        <f>ABS((N$35-N31)/N$35)</f>
        <v>0.69069561362266607</v>
      </c>
      <c r="O68" s="15">
        <f t="shared" si="14"/>
        <v>0.54979370170169328</v>
      </c>
      <c r="P68" s="6">
        <f>B31</f>
        <v>0.55937260389328003</v>
      </c>
    </row>
    <row r="69" spans="1:16" x14ac:dyDescent="0.35">
      <c r="N69" s="14" t="s">
        <v>158</v>
      </c>
      <c r="O69" s="15">
        <f>MIN(O39:O68)</f>
        <v>0.38969405315540417</v>
      </c>
      <c r="P69" s="6">
        <f>MAX(P39:P68)</f>
        <v>0.57322227954864502</v>
      </c>
    </row>
    <row r="70" spans="1:16" x14ac:dyDescent="0.35">
      <c r="N70" s="14" t="s">
        <v>156</v>
      </c>
      <c r="O70" s="15">
        <f>AVERAGE(O39:O68)</f>
        <v>0.76126817652656631</v>
      </c>
      <c r="P70" s="6">
        <f>AVERAGE(P39:P68)</f>
        <v>0.55987222989400209</v>
      </c>
    </row>
    <row r="71" spans="1:16" x14ac:dyDescent="0.35">
      <c r="N71" s="14" t="s">
        <v>157</v>
      </c>
      <c r="O71" s="17">
        <f>_xlfn.STDEV.P(O39:O68)</f>
        <v>0.40706243419357035</v>
      </c>
      <c r="P71" s="6">
        <f>_xlfn.STDEV.P(P39:P68)</f>
        <v>6.7134286761081439E-3</v>
      </c>
    </row>
  </sheetData>
  <conditionalFormatting sqref="O39:O68">
    <cfRule type="top10" dxfId="4" priority="3" bottom="1" rank="1"/>
  </conditionalFormatting>
  <conditionalFormatting sqref="P39:P68">
    <cfRule type="top10" dxfId="3" priority="1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4214-19F5-4995-B6A0-D234B83EB8E0}">
  <dimension ref="A1:AJ71"/>
  <sheetViews>
    <sheetView tabSelected="1" zoomScaleNormal="100" workbookViewId="0">
      <pane xSplit="1" topLeftCell="K1" activePane="topRight" state="frozen"/>
      <selection pane="topRight" activeCell="AF10" sqref="AF10"/>
    </sheetView>
  </sheetViews>
  <sheetFormatPr defaultRowHeight="14.5" x14ac:dyDescent="0.35"/>
  <cols>
    <col min="1" max="1" width="13.54296875" customWidth="1"/>
    <col min="2" max="2" width="13.26953125" style="1" customWidth="1"/>
    <col min="3" max="3" width="14" style="1" customWidth="1"/>
    <col min="4" max="6" width="9.1796875" style="1"/>
    <col min="9" max="9" width="13.26953125" customWidth="1"/>
    <col min="13" max="16" width="9.1796875" style="1"/>
    <col min="23" max="26" width="9.1796875" style="1"/>
    <col min="33" max="33" width="9.1796875" style="1"/>
    <col min="35" max="35" width="12.08984375" customWidth="1"/>
    <col min="36" max="36" width="10.54296875" bestFit="1" customWidth="1"/>
  </cols>
  <sheetData>
    <row r="1" spans="1:36" x14ac:dyDescent="0.35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s="1" t="s">
        <v>47</v>
      </c>
      <c r="N1" s="1" t="s">
        <v>48</v>
      </c>
      <c r="O1" s="1" t="s">
        <v>49</v>
      </c>
      <c r="P1" s="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s="5">
        <v>-1732.8679999999999</v>
      </c>
      <c r="AI1" s="20"/>
      <c r="AJ1" s="21"/>
    </row>
    <row r="2" spans="1:36" x14ac:dyDescent="0.35">
      <c r="A2" t="s">
        <v>141</v>
      </c>
      <c r="B2" s="1">
        <v>0.590337514877319</v>
      </c>
      <c r="C2" s="1">
        <v>-1.9802888631820601</v>
      </c>
      <c r="D2" s="1">
        <v>1</v>
      </c>
      <c r="E2" s="1">
        <v>0.14127308130264199</v>
      </c>
      <c r="F2" s="1">
        <v>0.14500613510608601</v>
      </c>
      <c r="G2">
        <v>-6.6891379356384197</v>
      </c>
      <c r="H2">
        <v>-1.2864974737167301</v>
      </c>
      <c r="I2">
        <v>1.7352108955383301</v>
      </c>
      <c r="J2">
        <v>-1.2357970476150499</v>
      </c>
      <c r="K2">
        <v>-1.9868870973587001</v>
      </c>
      <c r="L2">
        <v>-2.93135333061218</v>
      </c>
      <c r="M2" s="1">
        <v>-8.4897279739379794</v>
      </c>
      <c r="N2" s="1">
        <v>1</v>
      </c>
      <c r="O2" s="1">
        <v>3.06803131103515</v>
      </c>
      <c r="P2" s="1">
        <v>0.90494638681411699</v>
      </c>
      <c r="Q2">
        <v>-11.662878036499</v>
      </c>
      <c r="R2">
        <v>-2.2430789470672599</v>
      </c>
      <c r="S2">
        <v>3.0254354476928702</v>
      </c>
      <c r="T2">
        <v>-2.5196163654327299</v>
      </c>
      <c r="U2">
        <v>-4.0509834289550701</v>
      </c>
      <c r="V2">
        <v>-5.9766173362731898</v>
      </c>
      <c r="W2" s="1">
        <v>-0.75477421283721902</v>
      </c>
      <c r="X2" s="1">
        <v>1</v>
      </c>
      <c r="Y2" s="1">
        <v>1.1742300987243599</v>
      </c>
      <c r="Z2" s="1">
        <v>0.82396912574768</v>
      </c>
      <c r="AA2">
        <v>-4.3760323524475098</v>
      </c>
      <c r="AB2">
        <v>-0.84162622690200795</v>
      </c>
      <c r="AC2">
        <v>1.1351746320724401</v>
      </c>
      <c r="AD2">
        <v>-1.5384304523468</v>
      </c>
      <c r="AE2">
        <v>-2.4734542369842498</v>
      </c>
      <c r="AF2">
        <v>-3.6492104530334402</v>
      </c>
      <c r="AG2" s="5">
        <f>(1-B2)*$AG$1</f>
        <v>-709.89101126956996</v>
      </c>
      <c r="AI2" s="20"/>
      <c r="AJ2" s="21"/>
    </row>
    <row r="3" spans="1:36" x14ac:dyDescent="0.35">
      <c r="A3" t="s">
        <v>87</v>
      </c>
      <c r="B3" s="1">
        <v>0.59173369407653797</v>
      </c>
      <c r="C3" s="1">
        <v>-4.7810382843017498</v>
      </c>
      <c r="D3" s="1">
        <v>1</v>
      </c>
      <c r="E3" s="1">
        <v>2.4184038639068599</v>
      </c>
      <c r="F3" s="1">
        <v>1.47812628746032</v>
      </c>
      <c r="G3">
        <v>-17.504999160766602</v>
      </c>
      <c r="H3">
        <v>-2.6498508453369101</v>
      </c>
      <c r="I3">
        <v>6.1248064041137598</v>
      </c>
      <c r="J3">
        <v>-0.17398317158222101</v>
      </c>
      <c r="K3">
        <v>-2.3845195770263601</v>
      </c>
      <c r="L3">
        <v>-5.0258374214172301</v>
      </c>
      <c r="M3" s="1">
        <v>-7.12011623382568</v>
      </c>
      <c r="N3" s="1">
        <v>1</v>
      </c>
      <c r="O3" s="1">
        <v>1.2088701725006099</v>
      </c>
      <c r="P3" s="1">
        <v>0.28906580805778498</v>
      </c>
      <c r="Q3">
        <v>-7.40199470520019</v>
      </c>
      <c r="R3">
        <v>-1.1204904317855799</v>
      </c>
      <c r="S3">
        <v>2.5898764133453298</v>
      </c>
      <c r="T3">
        <v>-7.6557397842407199E-2</v>
      </c>
      <c r="U3">
        <v>-1.0492541790008501</v>
      </c>
      <c r="V3">
        <v>-2.2115068435668901</v>
      </c>
      <c r="W3" s="1">
        <v>-4.9913048744201598</v>
      </c>
      <c r="X3" s="1">
        <v>1</v>
      </c>
      <c r="Y3" s="1">
        <v>6.9824805259704501</v>
      </c>
      <c r="Z3" s="1">
        <v>2.3237400054931601</v>
      </c>
      <c r="AA3">
        <v>-5.6190738677978498</v>
      </c>
      <c r="AB3">
        <v>-0.85059767961501997</v>
      </c>
      <c r="AC3">
        <v>1.9660520553588801</v>
      </c>
      <c r="AD3">
        <v>-6.7093759775161702E-2</v>
      </c>
      <c r="AE3">
        <v>-0.91955119371414096</v>
      </c>
      <c r="AF3">
        <v>-1.93813264369964</v>
      </c>
      <c r="AG3" s="5">
        <f t="shared" ref="AG3:AG31" si="0">(1-B3)*$AG$1</f>
        <v>-707.47161701297773</v>
      </c>
      <c r="AI3" s="20"/>
      <c r="AJ3" s="21"/>
    </row>
    <row r="4" spans="1:36" x14ac:dyDescent="0.35">
      <c r="A4" t="s">
        <v>89</v>
      </c>
      <c r="B4" s="1">
        <v>0.59209394454955999</v>
      </c>
      <c r="C4" s="1">
        <v>-3.3025043010711599</v>
      </c>
      <c r="D4" s="1">
        <v>1</v>
      </c>
      <c r="E4" s="1">
        <v>0.17388869822025299</v>
      </c>
      <c r="F4" s="1">
        <v>0.128311157226562</v>
      </c>
      <c r="G4">
        <v>-2.8918809890746999</v>
      </c>
      <c r="H4">
        <v>0.79650902748107899</v>
      </c>
      <c r="I4">
        <v>2.8477492332458398</v>
      </c>
      <c r="J4">
        <v>-1.95834600925445</v>
      </c>
      <c r="K4">
        <v>-2.4260303974151598</v>
      </c>
      <c r="L4">
        <v>-2.99043440818786</v>
      </c>
      <c r="M4" s="1">
        <v>6.1596221923828098</v>
      </c>
      <c r="N4" s="1">
        <v>1</v>
      </c>
      <c r="O4" s="1">
        <v>3.7608122825622501</v>
      </c>
      <c r="P4" s="1">
        <v>5.3745751380920401</v>
      </c>
      <c r="Q4">
        <v>-4.5027556419372496</v>
      </c>
      <c r="R4">
        <v>1.24019110202789</v>
      </c>
      <c r="S4">
        <v>4.4340410232543901</v>
      </c>
      <c r="T4">
        <v>-1.3685340881347601</v>
      </c>
      <c r="U4">
        <v>-1.69536209106445</v>
      </c>
      <c r="V4">
        <v>-2.0897793769836399</v>
      </c>
      <c r="W4" s="1">
        <v>-6.1531100273132298</v>
      </c>
      <c r="X4" s="1">
        <v>1</v>
      </c>
      <c r="Y4" s="1">
        <v>1.7060923576354901</v>
      </c>
      <c r="Z4" s="1">
        <v>0.46598348021507202</v>
      </c>
      <c r="AA4">
        <v>-6.4897127151489196</v>
      </c>
      <c r="AB4">
        <v>1.7874575853347701</v>
      </c>
      <c r="AC4">
        <v>6.3906750679016104</v>
      </c>
      <c r="AD4">
        <v>-5.4055509567260698</v>
      </c>
      <c r="AE4">
        <v>-6.6964836120605398</v>
      </c>
      <c r="AF4">
        <v>-8.2543859481811506</v>
      </c>
      <c r="AG4" s="5">
        <f t="shared" si="0"/>
        <v>-706.84735049629307</v>
      </c>
      <c r="AI4" s="20"/>
      <c r="AJ4" s="21"/>
    </row>
    <row r="5" spans="1:36" x14ac:dyDescent="0.35">
      <c r="A5" t="s">
        <v>41</v>
      </c>
      <c r="B5" s="1">
        <v>0.59062117338180498</v>
      </c>
      <c r="C5" s="1">
        <v>-1.35405945777893</v>
      </c>
      <c r="D5" s="1">
        <v>1</v>
      </c>
      <c r="E5" s="1">
        <v>6.7764289677143097E-2</v>
      </c>
      <c r="F5" s="1">
        <v>0.20498991012573201</v>
      </c>
      <c r="G5">
        <v>-0.85786598920822099</v>
      </c>
      <c r="H5">
        <v>0.25298392772674499</v>
      </c>
      <c r="I5">
        <v>0.85786408185958796</v>
      </c>
      <c r="J5">
        <v>-0.17580105364322601</v>
      </c>
      <c r="K5">
        <v>-0.22168025374412501</v>
      </c>
      <c r="L5">
        <v>-0.27726224064826899</v>
      </c>
      <c r="M5" s="1">
        <v>-7.30989217758178</v>
      </c>
      <c r="N5" s="1">
        <v>1</v>
      </c>
      <c r="O5" s="1">
        <v>2.5867383480071999</v>
      </c>
      <c r="P5" s="1">
        <v>0.83012306690215998</v>
      </c>
      <c r="Q5">
        <v>-6.1267714500427202</v>
      </c>
      <c r="R5">
        <v>1.80677962303161</v>
      </c>
      <c r="S5">
        <v>6.1267580986022896</v>
      </c>
      <c r="T5">
        <v>-5.5060057640075604</v>
      </c>
      <c r="U5">
        <v>-6.9429206848144496</v>
      </c>
      <c r="V5">
        <v>-8.6837215423583896</v>
      </c>
      <c r="W5" s="1">
        <v>-12.447028160095201</v>
      </c>
      <c r="X5" s="1">
        <v>1</v>
      </c>
      <c r="Y5" s="1">
        <v>1.4934722185134801</v>
      </c>
      <c r="Z5" s="1">
        <v>0.477349132299423</v>
      </c>
      <c r="AA5">
        <v>-15.2041482925415</v>
      </c>
      <c r="AB5">
        <v>4.4836902618408203</v>
      </c>
      <c r="AC5">
        <v>15.204116821289</v>
      </c>
      <c r="AD5">
        <v>-9.3673810958862305</v>
      </c>
      <c r="AE5">
        <v>-11.812007904052701</v>
      </c>
      <c r="AF5">
        <v>-14.7736368179321</v>
      </c>
      <c r="AG5" s="5">
        <f t="shared" si="0"/>
        <v>-709.39946852421838</v>
      </c>
      <c r="AI5" s="20"/>
      <c r="AJ5" s="21"/>
    </row>
    <row r="6" spans="1:36" x14ac:dyDescent="0.35">
      <c r="A6" t="s">
        <v>142</v>
      </c>
      <c r="B6" s="1">
        <v>0.59291458129882801</v>
      </c>
      <c r="C6" s="1">
        <v>-1.5005905628204299</v>
      </c>
      <c r="D6" s="1">
        <v>1</v>
      </c>
      <c r="E6" s="1">
        <v>0.18383213877677901</v>
      </c>
      <c r="F6" s="1">
        <v>0.19554580748081199</v>
      </c>
      <c r="G6">
        <v>-2.86892366409301</v>
      </c>
      <c r="H6">
        <v>-0.56898969411849898</v>
      </c>
      <c r="I6">
        <v>0.74063193798065097</v>
      </c>
      <c r="J6">
        <v>-0.31365522742271401</v>
      </c>
      <c r="K6">
        <v>-0.46959218382835299</v>
      </c>
      <c r="L6">
        <v>-0.65336143970489502</v>
      </c>
      <c r="M6" s="1">
        <v>0.21321262419223699</v>
      </c>
      <c r="N6" s="1">
        <v>1</v>
      </c>
      <c r="O6" s="1">
        <v>8.4963026046752894</v>
      </c>
      <c r="P6" s="1">
        <v>6.9167451858520499</v>
      </c>
      <c r="Q6">
        <v>-13.944837570190399</v>
      </c>
      <c r="R6">
        <v>-2.7656605243682799</v>
      </c>
      <c r="S6">
        <v>3.59995341300964</v>
      </c>
      <c r="T6">
        <v>-2.7225105762481601</v>
      </c>
      <c r="U6">
        <v>-4.0760354995727504</v>
      </c>
      <c r="V6">
        <v>-5.6711430549621502</v>
      </c>
      <c r="W6" s="1">
        <v>-4.7166452407836896</v>
      </c>
      <c r="X6" s="1">
        <v>1</v>
      </c>
      <c r="Y6" s="1">
        <v>1.6019343137741</v>
      </c>
      <c r="Z6" s="1">
        <v>0.55352669954299905</v>
      </c>
      <c r="AA6">
        <v>-10.543787956237701</v>
      </c>
      <c r="AB6">
        <v>-2.0911350250244101</v>
      </c>
      <c r="AC6">
        <v>2.7219493389129599</v>
      </c>
      <c r="AD6">
        <v>-2.6490461826324401</v>
      </c>
      <c r="AE6">
        <v>-3.9660472869872998</v>
      </c>
      <c r="AF6">
        <v>-5.5181131362915004</v>
      </c>
      <c r="AG6" s="5">
        <f t="shared" si="0"/>
        <v>-705.42529533386244</v>
      </c>
      <c r="AI6" s="20"/>
      <c r="AJ6" s="21"/>
    </row>
    <row r="7" spans="1:36" x14ac:dyDescent="0.35">
      <c r="A7" t="s">
        <v>143</v>
      </c>
      <c r="B7" s="1">
        <v>0.59232783317565896</v>
      </c>
      <c r="C7" s="1">
        <v>-1.7955448627471899</v>
      </c>
      <c r="D7" s="1">
        <v>1</v>
      </c>
      <c r="E7" s="1">
        <v>0.15978202223777699</v>
      </c>
      <c r="F7" s="1">
        <v>0.37644836306571899</v>
      </c>
      <c r="G7">
        <v>-2.4473745822906401</v>
      </c>
      <c r="H7">
        <v>-7.4774213135242407E-2</v>
      </c>
      <c r="I7">
        <v>1.2183864116668699</v>
      </c>
      <c r="J7">
        <v>-0.97177213430404596</v>
      </c>
      <c r="K7">
        <v>-1.51193058490753</v>
      </c>
      <c r="L7">
        <v>-2.1651980876922599</v>
      </c>
      <c r="M7" s="1">
        <v>2.34103035926818</v>
      </c>
      <c r="N7" s="1">
        <v>1</v>
      </c>
      <c r="O7" s="1">
        <v>3.2284824848175</v>
      </c>
      <c r="P7" s="1">
        <v>6.87257575988769</v>
      </c>
      <c r="Q7">
        <v>-4.03495073318481</v>
      </c>
      <c r="R7">
        <v>-0.123279176652431</v>
      </c>
      <c r="S7">
        <v>2.0087354183196999</v>
      </c>
      <c r="T7">
        <v>-1.37072157859802</v>
      </c>
      <c r="U7">
        <v>-2.13263583183288</v>
      </c>
      <c r="V7">
        <v>-3.05409479141235</v>
      </c>
      <c r="W7" s="1">
        <v>-7.5545549392700098</v>
      </c>
      <c r="X7" s="1">
        <v>1</v>
      </c>
      <c r="Y7" s="1">
        <v>1.77302706241607</v>
      </c>
      <c r="Z7" s="1">
        <v>0.12516801059245999</v>
      </c>
      <c r="AA7">
        <v>-9.3978776931762695</v>
      </c>
      <c r="AB7">
        <v>-0.287131667137146</v>
      </c>
      <c r="AC7">
        <v>4.6785821914672798</v>
      </c>
      <c r="AD7">
        <v>-2.3275513648986799</v>
      </c>
      <c r="AE7">
        <v>-3.6213183403015101</v>
      </c>
      <c r="AF7">
        <v>-5.1859998703002903</v>
      </c>
      <c r="AG7" s="5">
        <f t="shared" si="0"/>
        <v>-706.44205238056213</v>
      </c>
      <c r="AI7" s="20"/>
      <c r="AJ7" s="21"/>
    </row>
    <row r="8" spans="1:36" x14ac:dyDescent="0.35">
      <c r="A8" t="s">
        <v>137</v>
      </c>
      <c r="B8" s="1">
        <v>0.58833014965057295</v>
      </c>
      <c r="C8" s="1">
        <v>-4.1046700477600098</v>
      </c>
      <c r="D8" s="1">
        <v>1</v>
      </c>
      <c r="E8" s="1">
        <v>1.21468269824981</v>
      </c>
      <c r="F8" s="1">
        <v>0.30122846364974898</v>
      </c>
      <c r="G8">
        <v>-5.2101340293884197</v>
      </c>
      <c r="H8">
        <v>1.4682325124740601</v>
      </c>
      <c r="I8">
        <v>5.1869597434997496</v>
      </c>
      <c r="J8">
        <v>-5.56414318084716</v>
      </c>
      <c r="K8">
        <v>-6.5893287658691397</v>
      </c>
      <c r="L8">
        <v>-7.8180036544799796</v>
      </c>
      <c r="M8" s="1">
        <v>-2.9925279617309499</v>
      </c>
      <c r="N8" s="1">
        <v>1</v>
      </c>
      <c r="O8" s="1">
        <v>2.6140673160552899</v>
      </c>
      <c r="P8" s="1">
        <v>2.2812650203704798</v>
      </c>
      <c r="Q8">
        <v>-8.6933736801147408</v>
      </c>
      <c r="R8">
        <v>2.4498209953308101</v>
      </c>
      <c r="S8">
        <v>8.6547069549560494</v>
      </c>
      <c r="T8">
        <v>-7.7225713729858398</v>
      </c>
      <c r="U8">
        <v>-9.1454439163208008</v>
      </c>
      <c r="V8">
        <v>-10.8507442474365</v>
      </c>
      <c r="W8" s="1">
        <v>0.25228065252303999</v>
      </c>
      <c r="X8" s="1">
        <v>1</v>
      </c>
      <c r="Y8" s="1">
        <v>0.79669541120529097</v>
      </c>
      <c r="Z8" s="1">
        <v>0.176309809088706</v>
      </c>
      <c r="AA8">
        <v>-2.2261102199554399</v>
      </c>
      <c r="AB8">
        <v>0.62732511758804299</v>
      </c>
      <c r="AC8">
        <v>2.2162089347839302</v>
      </c>
      <c r="AD8">
        <v>-1.36947858333587</v>
      </c>
      <c r="AE8">
        <v>-1.62180304527282</v>
      </c>
      <c r="AF8">
        <v>-1.92421174049377</v>
      </c>
      <c r="AG8" s="5">
        <f t="shared" si="0"/>
        <v>-713.36951023531094</v>
      </c>
      <c r="AI8" s="20"/>
      <c r="AJ8" s="21"/>
    </row>
    <row r="9" spans="1:36" x14ac:dyDescent="0.35">
      <c r="A9" t="s">
        <v>94</v>
      </c>
      <c r="B9" s="1">
        <v>0.588994920253753</v>
      </c>
      <c r="C9" s="1">
        <v>-2.9824044704437198</v>
      </c>
      <c r="D9" s="1">
        <v>1</v>
      </c>
      <c r="E9" s="1">
        <v>1.05978763103485</v>
      </c>
      <c r="F9" s="1">
        <v>0.66606503725051802</v>
      </c>
      <c r="G9">
        <v>-4.8753356933593697</v>
      </c>
      <c r="H9">
        <v>-1.1658630371093699</v>
      </c>
      <c r="I9">
        <v>0.93776410818099898</v>
      </c>
      <c r="J9">
        <v>-0.122451089322566</v>
      </c>
      <c r="K9">
        <v>-0.52229684591293302</v>
      </c>
      <c r="L9">
        <v>-0.98255050182342496</v>
      </c>
      <c r="M9" s="1">
        <v>-5.2107782363891602</v>
      </c>
      <c r="N9" s="1">
        <v>1</v>
      </c>
      <c r="O9" s="1">
        <v>1.16127598285675</v>
      </c>
      <c r="P9" s="1">
        <v>0.44818195700645402</v>
      </c>
      <c r="Q9">
        <v>-8.7920618057250906</v>
      </c>
      <c r="R9">
        <v>-2.1024889945983798</v>
      </c>
      <c r="S9">
        <v>1.69114029407501</v>
      </c>
      <c r="T9">
        <v>-0.343838900327682</v>
      </c>
      <c r="U9">
        <v>-1.4665943384170499</v>
      </c>
      <c r="V9">
        <v>-2.7589731216430602</v>
      </c>
      <c r="W9" s="1">
        <v>-6.4340901374816797</v>
      </c>
      <c r="X9" s="1">
        <v>1</v>
      </c>
      <c r="Y9" s="1">
        <v>2.61687111854553</v>
      </c>
      <c r="Z9" s="1">
        <v>0.57320171594619695</v>
      </c>
      <c r="AA9">
        <v>-12.192642211914</v>
      </c>
      <c r="AB9">
        <v>-2.9156866073608398</v>
      </c>
      <c r="AC9">
        <v>2.3452372550964302</v>
      </c>
      <c r="AD9">
        <v>-0.24534219503402699</v>
      </c>
      <c r="AE9">
        <v>-1.04647099971771</v>
      </c>
      <c r="AF9">
        <v>-1.96863257884979</v>
      </c>
      <c r="AG9" s="5">
        <f t="shared" si="0"/>
        <v>-712.21755052971957</v>
      </c>
      <c r="AI9" s="20"/>
      <c r="AJ9" s="21"/>
    </row>
    <row r="10" spans="1:36" x14ac:dyDescent="0.35">
      <c r="A10" t="s">
        <v>144</v>
      </c>
      <c r="B10" s="1">
        <v>0.59008109569549505</v>
      </c>
      <c r="C10" s="1">
        <v>-4.6025147438049299</v>
      </c>
      <c r="D10" s="1">
        <v>1</v>
      </c>
      <c r="E10" s="1">
        <v>0.19012483954429599</v>
      </c>
      <c r="F10" s="1">
        <v>0.29023763537406899</v>
      </c>
      <c r="G10">
        <v>-3.9345109462738002</v>
      </c>
      <c r="H10">
        <v>0.25608167052268899</v>
      </c>
      <c r="I10">
        <v>2.6020920276641801</v>
      </c>
      <c r="J10">
        <v>-1.65903449058532</v>
      </c>
      <c r="K10">
        <v>-2.2812745571136399</v>
      </c>
      <c r="L10">
        <v>-3.05062627792358</v>
      </c>
      <c r="M10" s="1">
        <v>-6.4017524719238201</v>
      </c>
      <c r="N10" s="1">
        <v>1</v>
      </c>
      <c r="O10" s="1">
        <v>3.0425336360931299</v>
      </c>
      <c r="P10" s="1">
        <v>0.384927928447723</v>
      </c>
      <c r="Q10">
        <v>-10.9580821990966</v>
      </c>
      <c r="R10">
        <v>0.71321833133697499</v>
      </c>
      <c r="S10">
        <v>7.2471365928649902</v>
      </c>
      <c r="T10">
        <v>-4.6922736167907697</v>
      </c>
      <c r="U10">
        <v>-6.45216560363769</v>
      </c>
      <c r="V10">
        <v>-8.6281366348266602</v>
      </c>
      <c r="W10" s="1">
        <v>-3.7953048944473197E-2</v>
      </c>
      <c r="X10" s="1">
        <v>1</v>
      </c>
      <c r="Y10" s="1">
        <v>0.56357681751251198</v>
      </c>
      <c r="Z10" s="1">
        <v>0.66478359699249201</v>
      </c>
      <c r="AA10">
        <v>-1.21872127056121</v>
      </c>
      <c r="AB10">
        <v>7.9321727156639099E-2</v>
      </c>
      <c r="AC10">
        <v>0.80600225925445501</v>
      </c>
      <c r="AD10">
        <v>-0.35200676321983299</v>
      </c>
      <c r="AE10">
        <v>-0.484030961990356</v>
      </c>
      <c r="AF10">
        <v>-0.64726871252059903</v>
      </c>
      <c r="AG10" s="5">
        <f t="shared" si="0"/>
        <v>-710.3353518643388</v>
      </c>
      <c r="AI10" s="20"/>
      <c r="AJ10" s="21"/>
    </row>
    <row r="11" spans="1:36" x14ac:dyDescent="0.35">
      <c r="A11" t="s">
        <v>42</v>
      </c>
      <c r="B11" s="1">
        <v>0.59065878391265803</v>
      </c>
      <c r="C11" s="1">
        <v>-0.50361144542694003</v>
      </c>
      <c r="D11" s="1">
        <v>1</v>
      </c>
      <c r="E11" s="1">
        <v>2.54873323440551</v>
      </c>
      <c r="F11" s="1">
        <v>0.70987272262573198</v>
      </c>
      <c r="G11">
        <v>-12.593864440917899</v>
      </c>
      <c r="H11">
        <v>2.5730202198028498</v>
      </c>
      <c r="I11">
        <v>11.075416564941399</v>
      </c>
      <c r="J11">
        <v>-1.9277198314666699</v>
      </c>
      <c r="K11">
        <v>-2.3347868919372501</v>
      </c>
      <c r="L11">
        <v>-2.8051800727844198</v>
      </c>
      <c r="M11" s="1">
        <v>-4.3199529647827104</v>
      </c>
      <c r="N11" s="1">
        <v>1</v>
      </c>
      <c r="O11" s="1">
        <v>1.2259054183959901</v>
      </c>
      <c r="P11" s="1">
        <v>0.44353857636451699</v>
      </c>
      <c r="Q11">
        <v>-5.5005030632018999</v>
      </c>
      <c r="R11">
        <v>1.1237938404083201</v>
      </c>
      <c r="S11">
        <v>4.8373045921325604</v>
      </c>
      <c r="T11">
        <v>-5.1493444442748997</v>
      </c>
      <c r="U11">
        <v>-6.2367053031921298</v>
      </c>
      <c r="V11">
        <v>-7.49322414398193</v>
      </c>
      <c r="W11" s="1">
        <v>-1.45398414134979</v>
      </c>
      <c r="X11" s="1">
        <v>1</v>
      </c>
      <c r="Y11" s="1">
        <v>3.8303561210632302</v>
      </c>
      <c r="Z11" s="1">
        <v>4.9064960479736301</v>
      </c>
      <c r="AA11">
        <v>-3.0026621818542401</v>
      </c>
      <c r="AB11">
        <v>0.61346620321273804</v>
      </c>
      <c r="AC11">
        <v>2.6406297683715798</v>
      </c>
      <c r="AD11">
        <v>-1.2135365009307799</v>
      </c>
      <c r="AE11">
        <v>-1.46979296207427</v>
      </c>
      <c r="AF11">
        <v>-1.76591432094573</v>
      </c>
      <c r="AG11" s="5">
        <f t="shared" si="0"/>
        <v>-709.33429443884006</v>
      </c>
      <c r="AI11" s="20"/>
      <c r="AJ11" s="21"/>
    </row>
    <row r="12" spans="1:36" x14ac:dyDescent="0.35">
      <c r="A12" t="s">
        <v>84</v>
      </c>
      <c r="B12" s="1">
        <v>0.59033083915710405</v>
      </c>
      <c r="C12" s="1">
        <v>-2.6977558135986301</v>
      </c>
      <c r="D12" s="1">
        <v>1</v>
      </c>
      <c r="E12" s="1">
        <v>0.24896053969859999</v>
      </c>
      <c r="F12" s="1">
        <v>0.13735365867614699</v>
      </c>
      <c r="G12">
        <v>-1.8862013816833401</v>
      </c>
      <c r="H12">
        <v>6.1180889606475802E-2</v>
      </c>
      <c r="I12">
        <v>1.1344369649887001</v>
      </c>
      <c r="J12">
        <v>-0.507193744182586</v>
      </c>
      <c r="K12">
        <v>-0.71221417188644398</v>
      </c>
      <c r="L12">
        <v>-0.96330267190933205</v>
      </c>
      <c r="M12" s="1">
        <v>-9.1058301925659109</v>
      </c>
      <c r="N12" s="1">
        <v>1</v>
      </c>
      <c r="O12" s="1">
        <v>7.6336207389831499</v>
      </c>
      <c r="P12" s="1">
        <v>5.2006912231445304</v>
      </c>
      <c r="Q12">
        <v>-7.9103941917419398</v>
      </c>
      <c r="R12">
        <v>0.256582021713256</v>
      </c>
      <c r="S12">
        <v>4.7576274871826101</v>
      </c>
      <c r="T12">
        <v>-3.4556405544281001</v>
      </c>
      <c r="U12">
        <v>-4.8524971008300701</v>
      </c>
      <c r="V12">
        <v>-6.5632266998290998</v>
      </c>
      <c r="W12" s="1">
        <v>-8.4721450805663991</v>
      </c>
      <c r="X12" s="1">
        <v>1</v>
      </c>
      <c r="Y12" s="1">
        <v>2.3099672794342001</v>
      </c>
      <c r="Z12" s="1">
        <v>0.24359931051731101</v>
      </c>
      <c r="AA12">
        <v>-12.0065908432006</v>
      </c>
      <c r="AB12">
        <v>0.38944625854492099</v>
      </c>
      <c r="AC12">
        <v>7.2212438583373997</v>
      </c>
      <c r="AD12">
        <v>-4.74651670455932</v>
      </c>
      <c r="AE12">
        <v>-6.66517829895019</v>
      </c>
      <c r="AF12">
        <v>-9.0149621963500906</v>
      </c>
      <c r="AG12" s="5">
        <f t="shared" si="0"/>
        <v>-709.90257941150742</v>
      </c>
      <c r="AI12" s="20"/>
      <c r="AJ12" s="21"/>
    </row>
    <row r="13" spans="1:36" x14ac:dyDescent="0.35">
      <c r="A13" t="s">
        <v>138</v>
      </c>
      <c r="B13" s="1">
        <v>0.59108322858810403</v>
      </c>
      <c r="C13" s="1">
        <v>-4.0245952606201101</v>
      </c>
      <c r="D13" s="1">
        <v>1</v>
      </c>
      <c r="E13" s="1">
        <v>0.580541431903839</v>
      </c>
      <c r="F13" s="1">
        <v>6.81032314896583E-2</v>
      </c>
      <c r="G13">
        <v>-3.8526570796966499</v>
      </c>
      <c r="H13">
        <v>0.75442600250244096</v>
      </c>
      <c r="I13">
        <v>3.4450476169586102</v>
      </c>
      <c r="J13">
        <v>-1.8678520917892401</v>
      </c>
      <c r="K13">
        <v>-2.2071428298950102</v>
      </c>
      <c r="L13">
        <v>-2.5757534503936701</v>
      </c>
      <c r="M13" s="1">
        <v>4.6293702125549299</v>
      </c>
      <c r="N13" s="1">
        <v>1</v>
      </c>
      <c r="O13" s="1">
        <v>4.5329856872558496</v>
      </c>
      <c r="P13" s="1">
        <v>11.230405807495099</v>
      </c>
      <c r="Q13">
        <v>-1.9004586935043299</v>
      </c>
      <c r="R13">
        <v>0.37214723229408198</v>
      </c>
      <c r="S13">
        <v>1.69939112663269</v>
      </c>
      <c r="T13">
        <v>-2.89028763771057</v>
      </c>
      <c r="U13">
        <v>-3.4153013229370099</v>
      </c>
      <c r="V13">
        <v>-3.98568415641784</v>
      </c>
      <c r="W13" s="1">
        <v>-2.6301393508911102</v>
      </c>
      <c r="X13" s="1">
        <v>1</v>
      </c>
      <c r="Y13" s="1">
        <v>1.4855761528015099</v>
      </c>
      <c r="Z13" s="1">
        <v>0.44449734687805098</v>
      </c>
      <c r="AA13">
        <v>-6.5542054176330504</v>
      </c>
      <c r="AB13">
        <v>1.28344225883483</v>
      </c>
      <c r="AC13">
        <v>5.86077404022216</v>
      </c>
      <c r="AD13">
        <v>-7.12843418121337</v>
      </c>
      <c r="AE13">
        <v>-8.4232969284057599</v>
      </c>
      <c r="AF13">
        <v>-9.8300561904907209</v>
      </c>
      <c r="AG13" s="5">
        <f t="shared" si="0"/>
        <v>-708.59878784298928</v>
      </c>
      <c r="AI13" s="20"/>
      <c r="AJ13" s="21"/>
    </row>
    <row r="14" spans="1:36" x14ac:dyDescent="0.35">
      <c r="A14" t="s">
        <v>145</v>
      </c>
      <c r="B14" s="1">
        <v>0.58908140659332198</v>
      </c>
      <c r="C14" s="1">
        <v>1.0862612724304199</v>
      </c>
      <c r="D14" s="1">
        <v>1</v>
      </c>
      <c r="E14" s="1">
        <v>1.6026462316512999</v>
      </c>
      <c r="F14" s="1">
        <v>3.4652988910675</v>
      </c>
      <c r="G14">
        <v>-2.49247074127197</v>
      </c>
      <c r="H14">
        <v>0.72504675388336104</v>
      </c>
      <c r="I14">
        <v>2.49127101898193</v>
      </c>
      <c r="J14">
        <v>-1.00604248046875</v>
      </c>
      <c r="K14">
        <v>-1.2741620540618801</v>
      </c>
      <c r="L14">
        <v>-1.5875781774520801</v>
      </c>
      <c r="M14" s="1">
        <v>-5.7357420921325604</v>
      </c>
      <c r="N14" s="1">
        <v>1</v>
      </c>
      <c r="O14" s="1">
        <v>1.2530378103256199</v>
      </c>
      <c r="P14" s="1">
        <v>0.35219988226890497</v>
      </c>
      <c r="Q14">
        <v>-5.4236860275268501</v>
      </c>
      <c r="R14">
        <v>1.5777219533920199</v>
      </c>
      <c r="S14">
        <v>5.4210753440856898</v>
      </c>
      <c r="T14">
        <v>-4.24688291549682</v>
      </c>
      <c r="U14">
        <v>-5.3787169456481898</v>
      </c>
      <c r="V14">
        <v>-6.7017626762390101</v>
      </c>
      <c r="W14" s="1">
        <v>-1.92321729660034</v>
      </c>
      <c r="X14" s="1">
        <v>1</v>
      </c>
      <c r="Y14" s="1">
        <v>4.0725908279418901</v>
      </c>
      <c r="Z14" s="1">
        <v>4.5831513404846103</v>
      </c>
      <c r="AA14">
        <v>-6.7588801383972097</v>
      </c>
      <c r="AB14">
        <v>1.9661228656768699</v>
      </c>
      <c r="AC14">
        <v>6.7556271553039497</v>
      </c>
      <c r="AD14">
        <v>-1.5276361703872601</v>
      </c>
      <c r="AE14">
        <v>-1.9347653388977</v>
      </c>
      <c r="AF14">
        <v>-2.4106752872467001</v>
      </c>
      <c r="AG14" s="5">
        <f t="shared" si="0"/>
        <v>-712.06768111944336</v>
      </c>
      <c r="AI14" s="20"/>
      <c r="AJ14" s="21"/>
    </row>
    <row r="15" spans="1:36" x14ac:dyDescent="0.35">
      <c r="A15" t="s">
        <v>146</v>
      </c>
      <c r="B15" s="1">
        <v>0.58965426683425903</v>
      </c>
      <c r="C15" s="1">
        <v>-4.6241874694824201</v>
      </c>
      <c r="D15" s="1">
        <v>1</v>
      </c>
      <c r="E15" s="1">
        <v>1.16669940948486</v>
      </c>
      <c r="F15" s="1">
        <v>0.38744372129440302</v>
      </c>
      <c r="G15">
        <v>-6.0366625785827601</v>
      </c>
      <c r="H15">
        <v>0.75242179632186801</v>
      </c>
      <c r="I15">
        <v>4.4841275215148899</v>
      </c>
      <c r="J15">
        <v>-3.64983057975769</v>
      </c>
      <c r="K15">
        <v>-4.7571477890014604</v>
      </c>
      <c r="L15">
        <v>-5.9570670127868599</v>
      </c>
      <c r="M15" s="1">
        <v>-5.4474577903747496</v>
      </c>
      <c r="N15" s="1">
        <v>1</v>
      </c>
      <c r="O15" s="1">
        <v>2.26864314079284</v>
      </c>
      <c r="P15" s="1">
        <v>1.10292720794677</v>
      </c>
      <c r="Q15">
        <v>-8.0080242156982404</v>
      </c>
      <c r="R15">
        <v>0.99813622236251798</v>
      </c>
      <c r="S15">
        <v>5.94848537445068</v>
      </c>
      <c r="T15">
        <v>-2.7042498588561998</v>
      </c>
      <c r="U15">
        <v>-3.5246889591217001</v>
      </c>
      <c r="V15">
        <v>-4.4137392044067303</v>
      </c>
      <c r="W15" s="1">
        <v>0.27588775753974898</v>
      </c>
      <c r="X15" s="1">
        <v>1</v>
      </c>
      <c r="Y15" s="1">
        <v>0.14686213433742501</v>
      </c>
      <c r="Z15" s="1">
        <v>0.40898653864860501</v>
      </c>
      <c r="AA15">
        <v>-0.47939291596412598</v>
      </c>
      <c r="AB15">
        <v>5.9752497822046197E-2</v>
      </c>
      <c r="AC15">
        <v>0.35610055923461897</v>
      </c>
      <c r="AD15">
        <v>-0.49312883615493702</v>
      </c>
      <c r="AE15">
        <v>-0.64273864030838002</v>
      </c>
      <c r="AF15">
        <v>-0.80485987663268999</v>
      </c>
      <c r="AG15" s="5">
        <f t="shared" si="0"/>
        <v>-711.07498993945114</v>
      </c>
      <c r="AI15" s="20"/>
      <c r="AJ15" s="21"/>
    </row>
    <row r="16" spans="1:36" x14ac:dyDescent="0.35">
      <c r="A16" t="s">
        <v>147</v>
      </c>
      <c r="B16" s="1">
        <v>0.58996701240539495</v>
      </c>
      <c r="C16" s="1">
        <v>0.35906738042831399</v>
      </c>
      <c r="D16" s="1">
        <v>1</v>
      </c>
      <c r="E16" s="1">
        <v>0.43616679310798601</v>
      </c>
      <c r="F16" s="1">
        <v>0.40864321589469899</v>
      </c>
      <c r="G16">
        <v>-1.8055619001388501</v>
      </c>
      <c r="H16">
        <v>0.104125693440437</v>
      </c>
      <c r="I16">
        <v>1.1774320602416899</v>
      </c>
      <c r="J16">
        <v>-8.0583184957504203E-2</v>
      </c>
      <c r="K16">
        <v>-9.7558423876762307E-2</v>
      </c>
      <c r="L16">
        <v>-0.11657665669918001</v>
      </c>
      <c r="M16" s="1">
        <v>-4.1079235076904297</v>
      </c>
      <c r="N16" s="1">
        <v>1</v>
      </c>
      <c r="O16" s="1">
        <v>2.7254750728607098</v>
      </c>
      <c r="P16" s="1">
        <v>0.82872372865676802</v>
      </c>
      <c r="Q16">
        <v>-9.0610256195068306</v>
      </c>
      <c r="R16">
        <v>0.52254396677017201</v>
      </c>
      <c r="S16">
        <v>5.9088211059570304</v>
      </c>
      <c r="T16">
        <v>-7.1079168319702104</v>
      </c>
      <c r="U16">
        <v>-8.6052331924438406</v>
      </c>
      <c r="V16">
        <v>-10.2827548980712</v>
      </c>
      <c r="W16" s="1">
        <v>-2.3050076961517298</v>
      </c>
      <c r="X16" s="1">
        <v>1</v>
      </c>
      <c r="Y16" s="1">
        <v>0.15269377827644301</v>
      </c>
      <c r="Z16" s="1">
        <v>6.4119353890419006E-2</v>
      </c>
      <c r="AA16">
        <v>-4.7260956764221103</v>
      </c>
      <c r="AB16">
        <v>0.272551119327545</v>
      </c>
      <c r="AC16">
        <v>3.0819520950317298</v>
      </c>
      <c r="AD16">
        <v>-3.6414084434509202</v>
      </c>
      <c r="AE16">
        <v>-4.4084882736206001</v>
      </c>
      <c r="AF16">
        <v>-5.2678885459899902</v>
      </c>
      <c r="AG16" s="5">
        <f t="shared" si="0"/>
        <v>-710.53304314708805</v>
      </c>
      <c r="AI16" s="20"/>
      <c r="AJ16" s="21"/>
    </row>
    <row r="17" spans="1:36" x14ac:dyDescent="0.35">
      <c r="A17" t="s">
        <v>99</v>
      </c>
      <c r="B17" s="1">
        <v>0.58954107761383001</v>
      </c>
      <c r="C17" s="1">
        <v>-2.91792511940002</v>
      </c>
      <c r="D17" s="1">
        <v>1</v>
      </c>
      <c r="E17" s="1">
        <v>2.8908803462982098</v>
      </c>
      <c r="F17" s="1">
        <v>0.94571137428283603</v>
      </c>
      <c r="G17">
        <v>-1.8286050558090201</v>
      </c>
      <c r="H17">
        <v>0.39444959163665699</v>
      </c>
      <c r="I17">
        <v>1.6131665706634499</v>
      </c>
      <c r="J17">
        <v>-1.02381610870361</v>
      </c>
      <c r="K17">
        <v>-1.3256963491439799</v>
      </c>
      <c r="L17">
        <v>-1.6737153530120801</v>
      </c>
      <c r="M17" s="1">
        <v>-5.9833984375</v>
      </c>
      <c r="N17" s="1">
        <v>1</v>
      </c>
      <c r="O17" s="1">
        <v>1.2321959733962999</v>
      </c>
      <c r="P17" s="1">
        <v>0.406440168619155</v>
      </c>
      <c r="Q17">
        <v>-5.6510324478149396</v>
      </c>
      <c r="R17">
        <v>1.21898794174194</v>
      </c>
      <c r="S17">
        <v>4.9852514266967702</v>
      </c>
      <c r="T17">
        <v>-3.56090807914733</v>
      </c>
      <c r="U17">
        <v>-4.6108698844909597</v>
      </c>
      <c r="V17">
        <v>-5.82130527496337</v>
      </c>
      <c r="W17" s="1">
        <v>6.3219223022460902</v>
      </c>
      <c r="X17" s="1">
        <v>1</v>
      </c>
      <c r="Y17" s="1">
        <v>3.0458929538726802</v>
      </c>
      <c r="Z17" s="1">
        <v>2.5572159290313698</v>
      </c>
      <c r="AA17">
        <v>-9.0534124374389595</v>
      </c>
      <c r="AB17">
        <v>1.9529175758361801</v>
      </c>
      <c r="AC17">
        <v>7.9867773056030202</v>
      </c>
      <c r="AD17">
        <v>-4.8023800849914497</v>
      </c>
      <c r="AE17">
        <v>-6.2183995246887198</v>
      </c>
      <c r="AF17">
        <v>-7.8508400917053196</v>
      </c>
      <c r="AG17" s="5">
        <f t="shared" si="0"/>
        <v>-711.27113191747765</v>
      </c>
      <c r="AI17" s="20"/>
      <c r="AJ17" s="21"/>
    </row>
    <row r="18" spans="1:36" x14ac:dyDescent="0.35">
      <c r="A18" t="s">
        <v>79</v>
      </c>
      <c r="B18" s="1">
        <v>0.58914643526077204</v>
      </c>
      <c r="C18" s="1">
        <v>-4.3050541877746502</v>
      </c>
      <c r="D18" s="1">
        <v>1</v>
      </c>
      <c r="E18" s="1">
        <v>1.1905775070190401</v>
      </c>
      <c r="F18" s="1">
        <v>0.45837363600730802</v>
      </c>
      <c r="G18">
        <v>-11.6140489578247</v>
      </c>
      <c r="H18">
        <v>-4.93529796600341</v>
      </c>
      <c r="I18">
        <v>-0.89975678920745805</v>
      </c>
      <c r="J18">
        <v>1.24730372428894</v>
      </c>
      <c r="K18">
        <v>0.182074889540672</v>
      </c>
      <c r="L18">
        <v>-1.2473994493484399</v>
      </c>
      <c r="M18" s="1">
        <v>-8.1130752563476491</v>
      </c>
      <c r="N18" s="1">
        <v>1</v>
      </c>
      <c r="O18" s="1">
        <v>3.1453931331634499</v>
      </c>
      <c r="P18" s="1">
        <v>2.2657346725463801</v>
      </c>
      <c r="Q18">
        <v>-15.396634101867599</v>
      </c>
      <c r="R18">
        <v>-6.5426774024963299</v>
      </c>
      <c r="S18">
        <v>-1.19279897212982</v>
      </c>
      <c r="T18">
        <v>7.5937995910644496</v>
      </c>
      <c r="U18">
        <v>1.10850310325622</v>
      </c>
      <c r="V18">
        <v>-7.5943822860717702</v>
      </c>
      <c r="W18" s="1">
        <v>-2.9698188304901101</v>
      </c>
      <c r="X18" s="1">
        <v>1</v>
      </c>
      <c r="Y18" s="1">
        <v>2.5476198196411102</v>
      </c>
      <c r="Z18" s="1">
        <v>0.52944052219390803</v>
      </c>
      <c r="AA18">
        <v>-15.057898521423301</v>
      </c>
      <c r="AB18">
        <v>-6.3987340927123997</v>
      </c>
      <c r="AC18">
        <v>-1.1665570735931301</v>
      </c>
      <c r="AD18">
        <v>7.5859606266021701E-2</v>
      </c>
      <c r="AE18">
        <v>1.10735883936285E-2</v>
      </c>
      <c r="AF18">
        <v>-7.5865432620048495E-2</v>
      </c>
      <c r="AG18" s="5">
        <f t="shared" si="0"/>
        <v>-711.95499502253642</v>
      </c>
      <c r="AI18" s="20"/>
      <c r="AJ18" s="21"/>
    </row>
    <row r="19" spans="1:36" x14ac:dyDescent="0.35">
      <c r="A19" t="s">
        <v>44</v>
      </c>
      <c r="B19" s="1">
        <v>0.58738112449645996</v>
      </c>
      <c r="C19" s="1">
        <v>-1.81706619262695</v>
      </c>
      <c r="D19" s="1">
        <v>1</v>
      </c>
      <c r="E19" s="1">
        <v>0.103508323431015</v>
      </c>
      <c r="F19" s="1">
        <v>0.41940626502036998</v>
      </c>
      <c r="G19">
        <v>-3.2899465560913002</v>
      </c>
      <c r="H19">
        <v>0.890122830867767</v>
      </c>
      <c r="I19">
        <v>3.2899465560913002</v>
      </c>
      <c r="J19">
        <v>-3.8374702930450399</v>
      </c>
      <c r="K19">
        <v>-4.5414652824401802</v>
      </c>
      <c r="L19">
        <v>-5.2541441917419398</v>
      </c>
      <c r="M19" s="1">
        <v>-4.5214591026306099</v>
      </c>
      <c r="N19" s="1">
        <v>1</v>
      </c>
      <c r="O19" s="1">
        <v>3.2982938289642298</v>
      </c>
      <c r="P19" s="1">
        <v>0.33627349138259799</v>
      </c>
      <c r="Q19">
        <v>-9.7367868423461896</v>
      </c>
      <c r="R19">
        <v>2.6343700885772701</v>
      </c>
      <c r="S19">
        <v>9.7367868423461896</v>
      </c>
      <c r="T19">
        <v>-10.1746816635131</v>
      </c>
      <c r="U19">
        <v>-12.0412549972534</v>
      </c>
      <c r="V19">
        <v>-13.930853843688899</v>
      </c>
      <c r="W19" s="1">
        <v>0.50886297225952104</v>
      </c>
      <c r="X19" s="1">
        <v>1</v>
      </c>
      <c r="Y19" s="1">
        <v>0.41115054488182001</v>
      </c>
      <c r="Z19" s="1">
        <v>0.58148640394210804</v>
      </c>
      <c r="AA19">
        <v>-0.59902441501617398</v>
      </c>
      <c r="AB19">
        <v>0.162071108818054</v>
      </c>
      <c r="AC19">
        <v>0.59902435541152899</v>
      </c>
      <c r="AD19">
        <v>-2.3369936943054199</v>
      </c>
      <c r="AE19">
        <v>-2.7657215595245299</v>
      </c>
      <c r="AF19">
        <v>-3.1997387409210201</v>
      </c>
      <c r="AG19" s="5">
        <f t="shared" si="0"/>
        <v>-715.01404555606837</v>
      </c>
      <c r="AI19" s="20"/>
      <c r="AJ19" s="21"/>
    </row>
    <row r="20" spans="1:36" x14ac:dyDescent="0.35">
      <c r="A20" t="s">
        <v>101</v>
      </c>
      <c r="B20" s="1">
        <v>0.58951246738433805</v>
      </c>
      <c r="C20" s="1">
        <v>-5.2084975242614702</v>
      </c>
      <c r="D20" s="1">
        <v>1</v>
      </c>
      <c r="E20" s="1">
        <v>1.2294017076492301</v>
      </c>
      <c r="F20" s="1">
        <v>0.38794133067130998</v>
      </c>
      <c r="G20">
        <v>-10.027769088745099</v>
      </c>
      <c r="H20">
        <v>-3.28294801712036</v>
      </c>
      <c r="I20">
        <v>0.60781645774841297</v>
      </c>
      <c r="J20">
        <v>0.195790454745292</v>
      </c>
      <c r="K20">
        <v>-0.88507521152496305</v>
      </c>
      <c r="L20">
        <v>-2.24250888824462</v>
      </c>
      <c r="M20" s="1">
        <v>-1.59579110145568</v>
      </c>
      <c r="N20" s="1">
        <v>1</v>
      </c>
      <c r="O20" s="1">
        <v>2.2252247333526598</v>
      </c>
      <c r="P20" s="1">
        <v>0.87602281570434504</v>
      </c>
      <c r="Q20">
        <v>-13.446065902709901</v>
      </c>
      <c r="R20">
        <v>-4.4020495414733798</v>
      </c>
      <c r="S20">
        <v>0.81501102447509699</v>
      </c>
      <c r="T20">
        <v>0.16093750298023199</v>
      </c>
      <c r="U20">
        <v>-0.72752165794372503</v>
      </c>
      <c r="V20">
        <v>-1.84331679344177</v>
      </c>
      <c r="W20" s="1">
        <v>-0.99837672710418701</v>
      </c>
      <c r="X20" s="1">
        <v>1</v>
      </c>
      <c r="Y20" s="1">
        <v>0.37010359764099099</v>
      </c>
      <c r="Z20" s="1">
        <v>0.84871453046798695</v>
      </c>
      <c r="AA20">
        <v>-2.4657840728759699</v>
      </c>
      <c r="AB20">
        <v>-0.80726248025894098</v>
      </c>
      <c r="AC20">
        <v>0.14945948123931799</v>
      </c>
      <c r="AD20">
        <v>7.4428021907806396E-2</v>
      </c>
      <c r="AE20">
        <v>-0.336453408002853</v>
      </c>
      <c r="AF20">
        <v>-0.85246986150741499</v>
      </c>
      <c r="AG20" s="5">
        <f t="shared" si="0"/>
        <v>-711.32070966863682</v>
      </c>
      <c r="AI20" s="20"/>
      <c r="AJ20" s="21"/>
    </row>
    <row r="21" spans="1:36" x14ac:dyDescent="0.35">
      <c r="A21" t="s">
        <v>148</v>
      </c>
      <c r="B21" s="1">
        <v>0.59604775905609098</v>
      </c>
      <c r="C21" s="1">
        <v>-4.0172634124755797</v>
      </c>
      <c r="D21" s="1">
        <v>1</v>
      </c>
      <c r="E21" s="1">
        <v>0.40192916989326399</v>
      </c>
      <c r="F21" s="1">
        <v>0.38901942968368503</v>
      </c>
      <c r="G21">
        <v>-2.54145336151123</v>
      </c>
      <c r="H21">
        <v>0.70478445291519098</v>
      </c>
      <c r="I21">
        <v>2.53192067146301</v>
      </c>
      <c r="J21">
        <v>-2.3506915569305402</v>
      </c>
      <c r="K21">
        <v>-3.0912830829620299</v>
      </c>
      <c r="L21">
        <v>-3.9280812740325901</v>
      </c>
      <c r="M21" s="1">
        <v>-4.9341678619384703</v>
      </c>
      <c r="N21" s="1">
        <v>1</v>
      </c>
      <c r="O21" s="1">
        <v>3.8645749092102002</v>
      </c>
      <c r="P21" s="1">
        <v>1.0017675161361601</v>
      </c>
      <c r="Q21">
        <v>-6.7396888732910103</v>
      </c>
      <c r="R21">
        <v>1.8690202236175499</v>
      </c>
      <c r="S21">
        <v>6.7144088745117099</v>
      </c>
      <c r="T21">
        <v>-0.35721477866172702</v>
      </c>
      <c r="U21">
        <v>-0.46975624561309798</v>
      </c>
      <c r="V21">
        <v>-0.59691739082336404</v>
      </c>
      <c r="W21" s="1">
        <v>-6.1936550140380797</v>
      </c>
      <c r="X21" s="1">
        <v>1</v>
      </c>
      <c r="Y21" s="1">
        <v>1.4866584539413401</v>
      </c>
      <c r="Z21" s="1">
        <v>0.420134127140045</v>
      </c>
      <c r="AA21">
        <v>-6.2506990432739196</v>
      </c>
      <c r="AB21">
        <v>1.73341608047485</v>
      </c>
      <c r="AC21">
        <v>6.2272539138793901</v>
      </c>
      <c r="AD21">
        <v>-3.89746665954589</v>
      </c>
      <c r="AE21">
        <v>-5.1253733634948704</v>
      </c>
      <c r="AF21">
        <v>-6.5127925872802699</v>
      </c>
      <c r="AG21" s="5">
        <f t="shared" si="0"/>
        <v>-699.99591185998975</v>
      </c>
      <c r="AI21" s="20"/>
      <c r="AJ21" s="21"/>
    </row>
    <row r="22" spans="1:36" x14ac:dyDescent="0.35">
      <c r="A22" t="s">
        <v>103</v>
      </c>
      <c r="B22" s="1">
        <v>0.58843290805816595</v>
      </c>
      <c r="C22" s="1">
        <v>-5.9202928543090803</v>
      </c>
      <c r="D22" s="1">
        <v>1</v>
      </c>
      <c r="E22" s="1">
        <v>1.1960191726684499</v>
      </c>
      <c r="F22" s="1">
        <v>0.30230700969696001</v>
      </c>
      <c r="G22">
        <v>-8.9067525863647408</v>
      </c>
      <c r="H22">
        <v>-2.1458318233489901</v>
      </c>
      <c r="I22">
        <v>1.72773373126983</v>
      </c>
      <c r="J22">
        <v>0.219456672668457</v>
      </c>
      <c r="K22">
        <v>-0.87443172931671098</v>
      </c>
      <c r="L22">
        <v>-2.1705417633056601</v>
      </c>
      <c r="M22" s="1">
        <v>-5.1593170166015598</v>
      </c>
      <c r="N22" s="1">
        <v>1</v>
      </c>
      <c r="O22" s="1">
        <v>2.3002762794494598</v>
      </c>
      <c r="P22" s="1">
        <v>1.28282511234283</v>
      </c>
      <c r="Q22">
        <v>-11.3169765472412</v>
      </c>
      <c r="R22">
        <v>-2.72650742530822</v>
      </c>
      <c r="S22">
        <v>2.19526934623718</v>
      </c>
      <c r="T22">
        <v>0.244097560644149</v>
      </c>
      <c r="U22">
        <v>-0.97261404991149902</v>
      </c>
      <c r="V22">
        <v>-2.4142532348632799</v>
      </c>
      <c r="W22" s="1">
        <v>0.75989818572998002</v>
      </c>
      <c r="X22" s="1">
        <v>1</v>
      </c>
      <c r="Y22" s="1">
        <v>1.6746416091918901</v>
      </c>
      <c r="Z22" s="1">
        <v>0.51009970903396595</v>
      </c>
      <c r="AA22">
        <v>-1.3021703958511299</v>
      </c>
      <c r="AB22">
        <v>-0.31372132897376998</v>
      </c>
      <c r="AC22">
        <v>0.252595275640487</v>
      </c>
      <c r="AD22">
        <v>0.26189547777175898</v>
      </c>
      <c r="AE22">
        <v>-1.04353034496307</v>
      </c>
      <c r="AF22">
        <v>-2.5902838706970202</v>
      </c>
      <c r="AG22" s="5">
        <f t="shared" si="0"/>
        <v>-713.19144347906206</v>
      </c>
      <c r="AI22" s="20"/>
      <c r="AJ22" s="21"/>
    </row>
    <row r="23" spans="1:36" x14ac:dyDescent="0.35">
      <c r="A23" t="s">
        <v>149</v>
      </c>
      <c r="B23" s="1">
        <v>0.59051859378814697</v>
      </c>
      <c r="C23" s="1">
        <v>-4.4188251495361301</v>
      </c>
      <c r="D23" s="1">
        <v>1</v>
      </c>
      <c r="E23" s="1">
        <v>1.2627416849136299</v>
      </c>
      <c r="F23" s="1">
        <v>0.45876577496528598</v>
      </c>
      <c r="G23">
        <v>-7.3014445304870597</v>
      </c>
      <c r="H23">
        <v>-0.91649031639099099</v>
      </c>
      <c r="I23">
        <v>2.7854449748992902</v>
      </c>
      <c r="J23">
        <v>-3.4420258998870801</v>
      </c>
      <c r="K23">
        <v>-4.5673956871032697</v>
      </c>
      <c r="L23">
        <v>-6.0060453414916903</v>
      </c>
      <c r="M23" s="1">
        <v>-3.4350442886352499</v>
      </c>
      <c r="N23" s="1">
        <v>1</v>
      </c>
      <c r="O23" s="1">
        <v>1.9640462398528999</v>
      </c>
      <c r="P23" s="1">
        <v>0.97912818193435602</v>
      </c>
      <c r="Q23">
        <v>-8.4482545852661097</v>
      </c>
      <c r="R23">
        <v>-1.0604398250579801</v>
      </c>
      <c r="S23">
        <v>3.2229442596435498</v>
      </c>
      <c r="T23">
        <v>-0.79794782400131203</v>
      </c>
      <c r="U23">
        <v>-1.0588366985321001</v>
      </c>
      <c r="V23">
        <v>-1.39235162734985</v>
      </c>
      <c r="W23" s="1">
        <v>-0.91495281457901001</v>
      </c>
      <c r="X23" s="1">
        <v>1</v>
      </c>
      <c r="Y23" s="1">
        <v>1.6890562772750799</v>
      </c>
      <c r="Z23" s="1">
        <v>0.36717873811721802</v>
      </c>
      <c r="AA23">
        <v>-14.8923330307006</v>
      </c>
      <c r="AB23">
        <v>-1.8693112134933401</v>
      </c>
      <c r="AC23">
        <v>5.6813111305236799</v>
      </c>
      <c r="AD23">
        <v>-1.06430876255035</v>
      </c>
      <c r="AE23">
        <v>-1.4122842550277701</v>
      </c>
      <c r="AF23">
        <v>-1.85712909698486</v>
      </c>
      <c r="AG23" s="5">
        <f t="shared" si="0"/>
        <v>-709.57722541952126</v>
      </c>
      <c r="AI23" s="20"/>
      <c r="AJ23" s="21"/>
    </row>
    <row r="24" spans="1:36" x14ac:dyDescent="0.35">
      <c r="A24" t="s">
        <v>150</v>
      </c>
      <c r="B24" s="1">
        <v>0.58843940496444702</v>
      </c>
      <c r="C24" s="1">
        <v>-1.5204586982727</v>
      </c>
      <c r="D24" s="1">
        <v>1</v>
      </c>
      <c r="E24" s="1">
        <v>3.5136517137288999E-2</v>
      </c>
      <c r="F24" s="1">
        <v>0.31167921423911998</v>
      </c>
      <c r="G24">
        <v>-3.6637992858886701</v>
      </c>
      <c r="H24">
        <v>1.02004754543304</v>
      </c>
      <c r="I24">
        <v>3.6426477432250901</v>
      </c>
      <c r="J24">
        <v>-3.3953063488006499</v>
      </c>
      <c r="K24">
        <v>-3.9575071334838801</v>
      </c>
      <c r="L24">
        <v>-4.5758299827575604</v>
      </c>
      <c r="M24" s="1">
        <v>-4.2797985076904297</v>
      </c>
      <c r="N24" s="1">
        <v>1</v>
      </c>
      <c r="O24" s="1">
        <v>3.47707843780517</v>
      </c>
      <c r="P24" s="1">
        <v>0.544244885444641</v>
      </c>
      <c r="Q24">
        <v>-8.8837776184081996</v>
      </c>
      <c r="R24">
        <v>2.47335505485534</v>
      </c>
      <c r="S24">
        <v>8.8324918746948207</v>
      </c>
      <c r="T24">
        <v>-12.723402023315399</v>
      </c>
      <c r="U24">
        <v>-14.8301639556884</v>
      </c>
      <c r="V24">
        <v>-17.147237777709901</v>
      </c>
      <c r="W24" s="1">
        <v>0.558676958084106</v>
      </c>
      <c r="X24" s="1">
        <v>1</v>
      </c>
      <c r="Y24" s="1">
        <v>1.2824634313583301</v>
      </c>
      <c r="Z24" s="1">
        <v>0.45368039608001698</v>
      </c>
      <c r="AA24">
        <v>-1.03788650035858</v>
      </c>
      <c r="AB24">
        <v>0.28896057605743403</v>
      </c>
      <c r="AC24">
        <v>1.03189480304718</v>
      </c>
      <c r="AD24">
        <v>-0.91904085874557495</v>
      </c>
      <c r="AE24">
        <v>-1.07121706008911</v>
      </c>
      <c r="AF24">
        <v>-1.2385846376419001</v>
      </c>
      <c r="AG24" s="5">
        <f t="shared" si="0"/>
        <v>-713.18018519806856</v>
      </c>
      <c r="AI24" s="20"/>
      <c r="AJ24" s="21"/>
    </row>
    <row r="25" spans="1:36" x14ac:dyDescent="0.35">
      <c r="A25" t="s">
        <v>46</v>
      </c>
      <c r="B25" s="1">
        <v>0.58892214298248202</v>
      </c>
      <c r="C25" s="1">
        <v>-2.97595787048339</v>
      </c>
      <c r="D25" s="1">
        <v>1</v>
      </c>
      <c r="E25" s="1">
        <v>1.2471731901168801</v>
      </c>
      <c r="F25" s="1">
        <v>0.47879976034164401</v>
      </c>
      <c r="G25">
        <v>-6.0297331809997496</v>
      </c>
      <c r="H25">
        <v>0.67631250619888295</v>
      </c>
      <c r="I25">
        <v>4.4034519195556596</v>
      </c>
      <c r="J25">
        <v>-6.2563457489013601</v>
      </c>
      <c r="K25">
        <v>-7.3487606048583896</v>
      </c>
      <c r="L25">
        <v>-8.6305799484252894</v>
      </c>
      <c r="M25" s="1">
        <v>2.0872836112975999</v>
      </c>
      <c r="N25" s="1">
        <v>1</v>
      </c>
      <c r="O25" s="1">
        <v>2.0760741233825599</v>
      </c>
      <c r="P25" s="1">
        <v>0.60068094730377197</v>
      </c>
      <c r="Q25">
        <v>-8.9566774368286097</v>
      </c>
      <c r="R25">
        <v>1.0046074390411299</v>
      </c>
      <c r="S25">
        <v>6.5409688949584899</v>
      </c>
      <c r="T25">
        <v>-5.9819388389587402</v>
      </c>
      <c r="U25">
        <v>-7.0264396667480398</v>
      </c>
      <c r="V25">
        <v>-8.2520370483398402</v>
      </c>
      <c r="W25" s="1">
        <v>-0.42615920305251997</v>
      </c>
      <c r="X25" s="1">
        <v>1</v>
      </c>
      <c r="Y25" s="1">
        <v>1.58823502063751</v>
      </c>
      <c r="Z25" s="1">
        <v>1.6691867113113401</v>
      </c>
      <c r="AA25">
        <v>-1.0250822305679299</v>
      </c>
      <c r="AB25">
        <v>0.11497621238231601</v>
      </c>
      <c r="AC25">
        <v>0.74860692024230902</v>
      </c>
      <c r="AD25">
        <v>-1.06730985641479</v>
      </c>
      <c r="AE25">
        <v>-1.2536718845367401</v>
      </c>
      <c r="AF25">
        <v>-1.47234547138214</v>
      </c>
      <c r="AG25" s="5">
        <f t="shared" si="0"/>
        <v>-712.34366393423227</v>
      </c>
      <c r="AI25" s="20"/>
      <c r="AJ25" s="21"/>
    </row>
    <row r="26" spans="1:36" x14ac:dyDescent="0.35">
      <c r="A26" t="s">
        <v>105</v>
      </c>
      <c r="B26" s="1">
        <v>0.59473192691802901</v>
      </c>
      <c r="C26" s="1">
        <v>-5.7406706809997496</v>
      </c>
      <c r="D26" s="1">
        <v>1</v>
      </c>
      <c r="E26" s="1">
        <v>1.5391317605972199</v>
      </c>
      <c r="F26" s="1">
        <v>0.266779005527496</v>
      </c>
      <c r="G26">
        <v>-9.6332464218139595</v>
      </c>
      <c r="H26">
        <v>-1.5702608823776201</v>
      </c>
      <c r="I26">
        <v>2.9215717315673801</v>
      </c>
      <c r="J26">
        <v>-1.49284672737121</v>
      </c>
      <c r="K26">
        <v>-2.6802005767822199</v>
      </c>
      <c r="L26">
        <v>-4.1181893348693803</v>
      </c>
      <c r="M26" s="1">
        <v>-3.5595426559448198</v>
      </c>
      <c r="N26" s="1">
        <v>1</v>
      </c>
      <c r="O26" s="1">
        <v>0.42346510291099498</v>
      </c>
      <c r="P26" s="1">
        <v>0.37720811367034901</v>
      </c>
      <c r="Q26">
        <v>-4.6076712608337402</v>
      </c>
      <c r="R26">
        <v>-0.75107026100158603</v>
      </c>
      <c r="S26">
        <v>1.3974148035049401</v>
      </c>
      <c r="T26">
        <v>-0.94345992803573597</v>
      </c>
      <c r="U26">
        <v>-1.69385254383087</v>
      </c>
      <c r="V26">
        <v>-2.6026422977447501</v>
      </c>
      <c r="W26" s="1">
        <v>-7.0237021446228001</v>
      </c>
      <c r="X26" s="1">
        <v>1</v>
      </c>
      <c r="Y26" s="1">
        <v>7.7266073226928702</v>
      </c>
      <c r="Z26" s="1">
        <v>6.87239217758178</v>
      </c>
      <c r="AA26">
        <v>-4.1194062232971103</v>
      </c>
      <c r="AB26">
        <v>-0.67148083448410001</v>
      </c>
      <c r="AC26">
        <v>1.24933362007141</v>
      </c>
      <c r="AD26">
        <v>-2.00770044326782</v>
      </c>
      <c r="AE26">
        <v>-3.6045494079589799</v>
      </c>
      <c r="AF26">
        <v>-5.5384716987609801</v>
      </c>
      <c r="AG26" s="5">
        <f t="shared" si="0"/>
        <v>-702.27607526540885</v>
      </c>
      <c r="AI26" s="20"/>
      <c r="AJ26" s="21"/>
    </row>
    <row r="27" spans="1:36" x14ac:dyDescent="0.35">
      <c r="A27" t="s">
        <v>139</v>
      </c>
      <c r="B27" s="1">
        <v>0.589846491813659</v>
      </c>
      <c r="C27" s="1">
        <v>-1.3562937974929801</v>
      </c>
      <c r="D27" s="1">
        <v>1</v>
      </c>
      <c r="E27" s="1">
        <v>0.179285109043121</v>
      </c>
      <c r="F27" s="1">
        <v>8.2417801022529602E-2</v>
      </c>
      <c r="G27">
        <v>-8.6993187665939303E-2</v>
      </c>
      <c r="H27">
        <v>2.3303495720028801E-2</v>
      </c>
      <c r="I27">
        <v>8.7153434753417899E-2</v>
      </c>
      <c r="J27">
        <v>-0.66302132606506303</v>
      </c>
      <c r="K27">
        <v>-0.79349255561828602</v>
      </c>
      <c r="L27">
        <v>-0.94182211160659701</v>
      </c>
      <c r="M27" s="1">
        <v>0.29849165678024198</v>
      </c>
      <c r="N27" s="1">
        <v>1</v>
      </c>
      <c r="O27" s="1">
        <v>4.1805973052978498</v>
      </c>
      <c r="P27" s="1">
        <v>6.1545810699462802</v>
      </c>
      <c r="Q27">
        <v>-7.2012166976928702</v>
      </c>
      <c r="R27">
        <v>1.9290423393249501</v>
      </c>
      <c r="S27">
        <v>7.2144823074340803</v>
      </c>
      <c r="T27">
        <v>-1.3703925609588601</v>
      </c>
      <c r="U27">
        <v>-1.6400622129440301</v>
      </c>
      <c r="V27">
        <v>-1.94664311408996</v>
      </c>
      <c r="W27" s="1">
        <v>-5.2853064537048304</v>
      </c>
      <c r="X27" s="1">
        <v>1</v>
      </c>
      <c r="Y27" s="1">
        <v>1.63923728466033</v>
      </c>
      <c r="Z27" s="1">
        <v>0.38749736547469998</v>
      </c>
      <c r="AA27">
        <v>-7.2796149253845197</v>
      </c>
      <c r="AB27">
        <v>1.9500436782836901</v>
      </c>
      <c r="AC27">
        <v>7.2930259704589799</v>
      </c>
      <c r="AD27">
        <v>-6.6022691726684499</v>
      </c>
      <c r="AE27">
        <v>-7.9014816284179599</v>
      </c>
      <c r="AF27">
        <v>-9.3785257339477504</v>
      </c>
      <c r="AG27" s="5">
        <f t="shared" si="0"/>
        <v>-710.74188942384831</v>
      </c>
      <c r="AI27" s="20"/>
      <c r="AJ27" s="21"/>
    </row>
    <row r="28" spans="1:36" x14ac:dyDescent="0.35">
      <c r="A28" t="s">
        <v>151</v>
      </c>
      <c r="B28" s="1">
        <v>0.593683362007141</v>
      </c>
      <c r="C28" s="1">
        <v>-2.89140772819519</v>
      </c>
      <c r="D28" s="1">
        <v>1</v>
      </c>
      <c r="E28" s="1">
        <v>0.285609811544418</v>
      </c>
      <c r="F28" s="1">
        <v>0.29202723503112699</v>
      </c>
      <c r="G28">
        <v>-2.2507021427154501</v>
      </c>
      <c r="H28">
        <v>-0.39660683274269098</v>
      </c>
      <c r="I28">
        <v>0.63384425640106201</v>
      </c>
      <c r="J28">
        <v>-0.73617452383041304</v>
      </c>
      <c r="K28">
        <v>-0.97943097352981501</v>
      </c>
      <c r="L28">
        <v>-1.3084914684295601</v>
      </c>
      <c r="M28" s="1">
        <v>-2.7677452564239502</v>
      </c>
      <c r="N28" s="1">
        <v>1</v>
      </c>
      <c r="O28" s="1">
        <v>5.1783480644226003</v>
      </c>
      <c r="P28" s="1">
        <v>1.1506936550140301</v>
      </c>
      <c r="Q28">
        <v>-7.2621974945068297</v>
      </c>
      <c r="R28">
        <v>-1.2797060012817301</v>
      </c>
      <c r="S28">
        <v>2.0451848506927401</v>
      </c>
      <c r="T28">
        <v>-2.1863985061645499</v>
      </c>
      <c r="U28">
        <v>-2.9088571071624698</v>
      </c>
      <c r="V28">
        <v>-3.8861486911773602</v>
      </c>
      <c r="W28" s="1">
        <v>-4.3269281387329102</v>
      </c>
      <c r="X28" s="1">
        <v>1</v>
      </c>
      <c r="Y28" s="1">
        <v>1.7504233121871899</v>
      </c>
      <c r="Z28" s="1">
        <v>0.48248466849326999</v>
      </c>
      <c r="AA28">
        <v>-11.1317892074584</v>
      </c>
      <c r="AB28">
        <v>-1.9615846872329701</v>
      </c>
      <c r="AC28">
        <v>3.1349420547485298</v>
      </c>
      <c r="AD28">
        <v>-4.0273895263671804</v>
      </c>
      <c r="AE28">
        <v>-5.3581724166870099</v>
      </c>
      <c r="AF28">
        <v>-7.1583628654479901</v>
      </c>
      <c r="AG28" s="5">
        <f t="shared" si="0"/>
        <v>-704.0930998454096</v>
      </c>
      <c r="AI28" s="20"/>
      <c r="AJ28" s="21"/>
    </row>
    <row r="29" spans="1:36" x14ac:dyDescent="0.35">
      <c r="A29" t="s">
        <v>152</v>
      </c>
      <c r="B29" s="1">
        <v>0.58987390995025601</v>
      </c>
      <c r="C29" s="1">
        <v>-4.6513004302978498</v>
      </c>
      <c r="D29" s="1">
        <v>1</v>
      </c>
      <c r="E29" s="1">
        <v>2.2808916568756099</v>
      </c>
      <c r="F29" s="1">
        <v>0.72462463378906194</v>
      </c>
      <c r="G29">
        <v>-7.4426336288452104</v>
      </c>
      <c r="H29">
        <v>2.1248922348022399</v>
      </c>
      <c r="I29">
        <v>7.3671760559081996</v>
      </c>
      <c r="J29">
        <v>-3.52753281593322</v>
      </c>
      <c r="K29">
        <v>-4.5961065292358398</v>
      </c>
      <c r="L29">
        <v>-5.9285373687744096</v>
      </c>
      <c r="M29" s="1">
        <v>-6.4228940010070801</v>
      </c>
      <c r="N29" s="1">
        <v>1</v>
      </c>
      <c r="O29" s="1">
        <v>1.2406657934188801</v>
      </c>
      <c r="P29" s="1">
        <v>0.43592721223831099</v>
      </c>
      <c r="Q29">
        <v>-5.2538824081420898</v>
      </c>
      <c r="R29">
        <v>1.4999977350234901</v>
      </c>
      <c r="S29">
        <v>5.2006158828735298</v>
      </c>
      <c r="T29">
        <v>-3.5145919322967498</v>
      </c>
      <c r="U29">
        <v>-4.5792455673217702</v>
      </c>
      <c r="V29">
        <v>-5.9067883491516104</v>
      </c>
      <c r="W29" s="1">
        <v>-1.28378593921661</v>
      </c>
      <c r="X29" s="1">
        <v>1</v>
      </c>
      <c r="Y29" s="1">
        <v>0.69579774141311601</v>
      </c>
      <c r="Z29" s="1">
        <v>0.462135910987854</v>
      </c>
      <c r="AA29">
        <v>-0.10924135148525201</v>
      </c>
      <c r="AB29">
        <v>3.1188704073429101E-2</v>
      </c>
      <c r="AC29">
        <v>0.108133792877197</v>
      </c>
      <c r="AD29">
        <v>-1.0569761991500799</v>
      </c>
      <c r="AE29">
        <v>-1.37715947628021</v>
      </c>
      <c r="AF29">
        <v>-1.7764037847518901</v>
      </c>
      <c r="AG29" s="5">
        <f t="shared" si="0"/>
        <v>-710.69437741231968</v>
      </c>
      <c r="AI29" s="20"/>
      <c r="AJ29" s="21"/>
    </row>
    <row r="30" spans="1:36" x14ac:dyDescent="0.35">
      <c r="A30" t="s">
        <v>80</v>
      </c>
      <c r="B30" s="1">
        <v>0.59560835361480702</v>
      </c>
      <c r="C30" s="1">
        <v>-2.3852071762084899</v>
      </c>
      <c r="D30" s="1">
        <v>1</v>
      </c>
      <c r="E30" s="1">
        <v>0.16137102246284399</v>
      </c>
      <c r="F30" s="1">
        <v>0.15479241311550099</v>
      </c>
      <c r="G30">
        <v>-5.2838277816772399</v>
      </c>
      <c r="H30">
        <v>-0.52529162168502797</v>
      </c>
      <c r="I30">
        <v>2.1656150817871</v>
      </c>
      <c r="J30">
        <v>-3.9643023014068599</v>
      </c>
      <c r="K30">
        <v>-4.7405223846435502</v>
      </c>
      <c r="L30">
        <v>-5.7248339653015101</v>
      </c>
      <c r="M30" s="1">
        <v>-0.9171142578125</v>
      </c>
      <c r="N30" s="1">
        <v>1</v>
      </c>
      <c r="O30" s="1">
        <v>3.46507263183593</v>
      </c>
      <c r="P30" s="1">
        <v>1.7476898431777901</v>
      </c>
      <c r="Q30">
        <v>-17.3869018554687</v>
      </c>
      <c r="R30">
        <v>-1.7285189628601001</v>
      </c>
      <c r="S30">
        <v>7.1261472702026296</v>
      </c>
      <c r="T30">
        <v>-7.6600446701049796</v>
      </c>
      <c r="U30">
        <v>-9.1598987579345703</v>
      </c>
      <c r="V30">
        <v>-11.061841011047299</v>
      </c>
      <c r="W30" s="1">
        <v>-2.16446685791015</v>
      </c>
      <c r="X30" s="1">
        <v>1</v>
      </c>
      <c r="Y30" s="1">
        <v>2.5327963829040501</v>
      </c>
      <c r="Z30" s="1">
        <v>0.62276405096053999</v>
      </c>
      <c r="AA30">
        <v>-8.8502893447875906</v>
      </c>
      <c r="AB30">
        <v>-0.87985122203826904</v>
      </c>
      <c r="AC30">
        <v>3.6273546218871999</v>
      </c>
      <c r="AD30">
        <v>-6.8166966438293404</v>
      </c>
      <c r="AE30">
        <v>-8.1514225006103498</v>
      </c>
      <c r="AF30">
        <v>-9.8439664840698207</v>
      </c>
      <c r="AG30" s="5">
        <f t="shared" si="0"/>
        <v>-700.75734348821652</v>
      </c>
      <c r="AI30" s="20"/>
      <c r="AJ30" s="21"/>
    </row>
    <row r="31" spans="1:36" x14ac:dyDescent="0.35">
      <c r="A31" t="s">
        <v>140</v>
      </c>
      <c r="B31" s="1">
        <v>0.58866536617278997</v>
      </c>
      <c r="C31" s="1">
        <v>-1.95413541793823</v>
      </c>
      <c r="D31" s="1">
        <v>1</v>
      </c>
      <c r="E31" s="1">
        <v>1.0141084194183301</v>
      </c>
      <c r="F31" s="1">
        <v>0.29144659638404802</v>
      </c>
      <c r="G31">
        <v>-5.25128078460693</v>
      </c>
      <c r="H31">
        <v>1.3879195451736399</v>
      </c>
      <c r="I31">
        <v>5.2864470481872496</v>
      </c>
      <c r="J31">
        <v>4.7637677192687899</v>
      </c>
      <c r="K31">
        <v>-4.1073258966207497E-2</v>
      </c>
      <c r="L31">
        <v>-4.8217844963073704</v>
      </c>
      <c r="M31" s="1">
        <v>-13.862087249755801</v>
      </c>
      <c r="N31" s="1">
        <v>1</v>
      </c>
      <c r="O31" s="1">
        <v>2.8589708805084202</v>
      </c>
      <c r="P31" s="1">
        <v>0.60235083103179898</v>
      </c>
      <c r="Q31">
        <v>-8.3522300720214808</v>
      </c>
      <c r="R31">
        <v>2.20750379562377</v>
      </c>
      <c r="S31">
        <v>8.4081621170043892</v>
      </c>
      <c r="T31">
        <v>0.55517202615737904</v>
      </c>
      <c r="U31">
        <v>-4.7866962850093798E-3</v>
      </c>
      <c r="V31">
        <v>-0.56193327903747503</v>
      </c>
      <c r="W31" s="1">
        <v>-6.6026239395141602</v>
      </c>
      <c r="X31" s="1">
        <v>1</v>
      </c>
      <c r="Y31" s="1">
        <v>9.3117892742156899E-2</v>
      </c>
      <c r="Z31" s="1">
        <v>0.248608067631721</v>
      </c>
      <c r="AA31">
        <v>-3.4082672595977699</v>
      </c>
      <c r="AB31">
        <v>0.90080881118774403</v>
      </c>
      <c r="AC31">
        <v>3.4310915470123202</v>
      </c>
      <c r="AD31">
        <v>1.55426681041717</v>
      </c>
      <c r="AE31">
        <v>-1.3400900177657601E-2</v>
      </c>
      <c r="AF31">
        <v>-1.5731959342956501</v>
      </c>
      <c r="AG31" s="5">
        <f t="shared" si="0"/>
        <v>-712.78862425088971</v>
      </c>
      <c r="AI31" s="20"/>
      <c r="AJ31" s="21"/>
    </row>
    <row r="32" spans="1:36" x14ac:dyDescent="0.35">
      <c r="B32" s="2">
        <f t="shared" ref="B32:AG32" si="1">AVERAGE(B2:B31)</f>
        <v>0.59061872561772644</v>
      </c>
      <c r="C32" s="2">
        <f t="shared" si="1"/>
        <v>-2.9629597723484009</v>
      </c>
      <c r="D32" s="2">
        <f t="shared" si="1"/>
        <v>1</v>
      </c>
      <c r="E32" s="2">
        <f t="shared" si="1"/>
        <v>0.90703507674236872</v>
      </c>
      <c r="F32" s="2">
        <f t="shared" si="1"/>
        <v>0.49755885725219973</v>
      </c>
      <c r="G32" s="6">
        <f t="shared" si="1"/>
        <v>-5.3699939221143662</v>
      </c>
      <c r="H32" s="6">
        <f t="shared" si="1"/>
        <v>-0.15176140088587967</v>
      </c>
      <c r="I32" s="6">
        <f t="shared" si="1"/>
        <v>2.8074458678563401</v>
      </c>
      <c r="J32" s="6">
        <f t="shared" si="1"/>
        <v>-1.5159140132367586</v>
      </c>
      <c r="K32" s="6">
        <f t="shared" si="1"/>
        <v>-2.333897296463447</v>
      </c>
      <c r="L32" s="6">
        <f t="shared" si="1"/>
        <v>-3.2824196780721318</v>
      </c>
      <c r="M32" s="2">
        <f t="shared" si="1"/>
        <v>-3.8688041980067851</v>
      </c>
      <c r="N32" s="2">
        <f t="shared" si="1"/>
        <v>1</v>
      </c>
      <c r="O32" s="2">
        <f t="shared" si="1"/>
        <v>2.991235314806298</v>
      </c>
      <c r="P32" s="2">
        <f t="shared" si="1"/>
        <v>2.0740820397933297</v>
      </c>
      <c r="Q32" s="6">
        <f t="shared" si="1"/>
        <v>-8.4187263925870131</v>
      </c>
      <c r="R32" s="6">
        <f t="shared" si="1"/>
        <v>-3.1604919582605438E-2</v>
      </c>
      <c r="S32" s="6">
        <f t="shared" si="1"/>
        <v>4.7064276496569288</v>
      </c>
      <c r="T32" s="6">
        <f t="shared" si="1"/>
        <v>-3.0864642009139005</v>
      </c>
      <c r="U32" s="6">
        <f t="shared" si="1"/>
        <v>-4.3213398445397555</v>
      </c>
      <c r="V32" s="6">
        <f t="shared" si="1"/>
        <v>-5.8107920249303051</v>
      </c>
      <c r="W32" s="2">
        <f t="shared" si="1"/>
        <v>-2.979540048042931</v>
      </c>
      <c r="X32" s="2">
        <f t="shared" si="1"/>
        <v>1</v>
      </c>
      <c r="Y32" s="2">
        <f t="shared" si="1"/>
        <v>1.9746742621064151</v>
      </c>
      <c r="Z32" s="2">
        <f t="shared" si="1"/>
        <v>1.1282633607586212</v>
      </c>
      <c r="AA32" s="6">
        <f t="shared" si="1"/>
        <v>-6.2459610904256335</v>
      </c>
      <c r="AB32" s="6">
        <f t="shared" si="1"/>
        <v>-3.9705480759343131E-2</v>
      </c>
      <c r="AC32" s="6">
        <f t="shared" si="1"/>
        <v>3.4578191250562624</v>
      </c>
      <c r="AD32" s="6">
        <f t="shared" si="1"/>
        <v>-2.4901541392008437</v>
      </c>
      <c r="AE32" s="6">
        <f t="shared" si="1"/>
        <v>-3.3935730721801485</v>
      </c>
      <c r="AF32" s="6">
        <f t="shared" si="1"/>
        <v>-4.4624308203657437</v>
      </c>
      <c r="AG32" s="5">
        <f t="shared" si="1"/>
        <v>-709.40371017626205</v>
      </c>
      <c r="AI32" s="20"/>
      <c r="AJ32" s="21"/>
    </row>
    <row r="33" spans="1:36" x14ac:dyDescent="0.35">
      <c r="B33" s="17">
        <f>MAX(B2:B31)</f>
        <v>0.59604775905609098</v>
      </c>
      <c r="AG33" s="19">
        <f>MAX(AG2:AG32)</f>
        <v>-699.99591185998975</v>
      </c>
      <c r="AI33" s="20"/>
      <c r="AJ33" s="20"/>
    </row>
    <row r="34" spans="1:36" x14ac:dyDescent="0.35">
      <c r="B34" t="s">
        <v>70</v>
      </c>
      <c r="C34" s="1" t="s">
        <v>71</v>
      </c>
      <c r="D34" s="1" t="s">
        <v>5</v>
      </c>
      <c r="E34" s="1" t="s">
        <v>6</v>
      </c>
      <c r="F34" s="1" t="s">
        <v>7</v>
      </c>
      <c r="G34" t="s">
        <v>72</v>
      </c>
      <c r="H34" t="s">
        <v>73</v>
      </c>
      <c r="I34" t="s">
        <v>74</v>
      </c>
      <c r="J34" t="s">
        <v>75</v>
      </c>
      <c r="K34" t="s">
        <v>76</v>
      </c>
      <c r="L34" t="s">
        <v>77</v>
      </c>
      <c r="M34" s="1" t="s">
        <v>71</v>
      </c>
      <c r="N34" s="1" t="s">
        <v>5</v>
      </c>
      <c r="O34" s="1" t="s">
        <v>6</v>
      </c>
      <c r="P34" s="1" t="s">
        <v>7</v>
      </c>
      <c r="Q34" t="s">
        <v>72</v>
      </c>
      <c r="R34" t="s">
        <v>73</v>
      </c>
      <c r="S34" t="s">
        <v>74</v>
      </c>
      <c r="T34" t="s">
        <v>75</v>
      </c>
      <c r="U34" t="s">
        <v>76</v>
      </c>
      <c r="V34" t="s">
        <v>77</v>
      </c>
      <c r="W34" s="1" t="s">
        <v>71</v>
      </c>
      <c r="X34" s="1" t="s">
        <v>5</v>
      </c>
      <c r="Y34" s="1" t="s">
        <v>6</v>
      </c>
      <c r="Z34" s="1" t="s">
        <v>7</v>
      </c>
      <c r="AA34" t="s">
        <v>72</v>
      </c>
      <c r="AB34" t="s">
        <v>73</v>
      </c>
      <c r="AC34" t="s">
        <v>74</v>
      </c>
      <c r="AD34" t="s">
        <v>75</v>
      </c>
      <c r="AE34" t="s">
        <v>76</v>
      </c>
      <c r="AF34" t="s">
        <v>77</v>
      </c>
      <c r="AI34" s="20"/>
      <c r="AJ34" s="20"/>
    </row>
    <row r="35" spans="1:36" x14ac:dyDescent="0.35">
      <c r="B35" t="s">
        <v>81</v>
      </c>
      <c r="C35" s="1">
        <v>-5</v>
      </c>
      <c r="D35" s="1">
        <v>1</v>
      </c>
      <c r="E35" s="1">
        <v>1.2</v>
      </c>
      <c r="F35" s="1">
        <v>0.4</v>
      </c>
      <c r="G35">
        <v>-8</v>
      </c>
      <c r="H35">
        <v>-1.6</v>
      </c>
      <c r="I35">
        <v>1.6</v>
      </c>
      <c r="J35">
        <v>-0.8</v>
      </c>
      <c r="K35">
        <v>-1.6</v>
      </c>
      <c r="L35">
        <v>-3.2</v>
      </c>
      <c r="M35" s="1">
        <v>-6</v>
      </c>
      <c r="N35" s="1">
        <v>1</v>
      </c>
      <c r="O35" s="1">
        <v>2.5</v>
      </c>
      <c r="P35" s="1">
        <v>0.5</v>
      </c>
      <c r="Q35">
        <v>-10</v>
      </c>
      <c r="R35">
        <v>-2</v>
      </c>
      <c r="S35">
        <v>2</v>
      </c>
      <c r="T35">
        <v>-1</v>
      </c>
      <c r="U35">
        <v>-2</v>
      </c>
      <c r="V35">
        <v>1</v>
      </c>
      <c r="W35" s="1">
        <v>-6</v>
      </c>
      <c r="X35" s="1">
        <v>1</v>
      </c>
      <c r="Y35" s="1">
        <v>1.5</v>
      </c>
      <c r="Z35" s="1">
        <v>0.5</v>
      </c>
      <c r="AA35">
        <v>-10</v>
      </c>
      <c r="AB35">
        <v>-2</v>
      </c>
      <c r="AC35">
        <v>2</v>
      </c>
      <c r="AD35">
        <v>-1</v>
      </c>
      <c r="AE35">
        <v>-2</v>
      </c>
      <c r="AF35">
        <v>-4</v>
      </c>
    </row>
    <row r="36" spans="1:36" x14ac:dyDescent="0.35">
      <c r="B36" t="s">
        <v>82</v>
      </c>
      <c r="C36">
        <v>1</v>
      </c>
      <c r="D36">
        <v>0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6" x14ac:dyDescent="0.35">
      <c r="B37" t="s">
        <v>83</v>
      </c>
      <c r="C37">
        <v>1</v>
      </c>
      <c r="D37">
        <v>0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0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</row>
    <row r="38" spans="1:36" x14ac:dyDescent="0.35">
      <c r="AG38" s="14" t="s">
        <v>154</v>
      </c>
      <c r="AH38" s="14" t="s">
        <v>155</v>
      </c>
      <c r="AI38" t="s">
        <v>163</v>
      </c>
    </row>
    <row r="39" spans="1:36" x14ac:dyDescent="0.35">
      <c r="A39" t="str">
        <f>A2</f>
        <v>Model_16</v>
      </c>
      <c r="B39" s="1" t="s">
        <v>153</v>
      </c>
      <c r="C39" s="4">
        <f>ABS((C$35-C2)/C$35)</f>
        <v>0.60394222736358805</v>
      </c>
      <c r="D39" s="4">
        <f>ABS((D$35-D2)/D$35)</f>
        <v>0</v>
      </c>
      <c r="E39" s="4">
        <f>ABS((E$35-E2)/E$35)</f>
        <v>0.88227243224779839</v>
      </c>
      <c r="F39" s="4">
        <f>ABS((F$35-F2)/F$35)</f>
        <v>0.63748466223478495</v>
      </c>
      <c r="G39" s="4">
        <f>ABS((G$35-G2)/G$35)</f>
        <v>0.16385775804519753</v>
      </c>
      <c r="H39" s="4">
        <f>ABS((H$35-H2)/H$35)</f>
        <v>0.19593907892704376</v>
      </c>
      <c r="I39" s="4">
        <f>ABS((I$35-I2)/I$35)</f>
        <v>8.4506809711456243E-2</v>
      </c>
      <c r="J39" s="4">
        <f>ABS((J$35-J2)/J$35)</f>
        <v>0.54474630951881231</v>
      </c>
      <c r="K39" s="4">
        <f>ABS((K$35-K2)/K$35)</f>
        <v>0.24180443584918748</v>
      </c>
      <c r="L39" s="4">
        <f>ABS((L$35-L2)/L$35)</f>
        <v>8.395208418369382E-2</v>
      </c>
      <c r="M39" s="4">
        <f>ABS((M$35-M2)/M$35)</f>
        <v>0.41495466232299655</v>
      </c>
      <c r="N39" s="4">
        <f>ABS((N$35-N2)/N$35)</f>
        <v>0</v>
      </c>
      <c r="O39" s="4">
        <f>ABS((O$35-O2)/O$35)</f>
        <v>0.22721252441406001</v>
      </c>
      <c r="P39" s="4">
        <f>ABS((P$35-P2)/P$35)</f>
        <v>0.80989277362823398</v>
      </c>
      <c r="Q39" s="4">
        <f>ABS((Q$35-Q2)/Q$35)</f>
        <v>0.16628780364990003</v>
      </c>
      <c r="R39" s="4">
        <f>ABS((R$35-R2)/R$35)</f>
        <v>0.12153947353362993</v>
      </c>
      <c r="S39" s="4">
        <f>ABS((S$35-S2)/S$35)</f>
        <v>0.5127177238464351</v>
      </c>
      <c r="T39" s="4">
        <f>ABS((T$35-T2)/T$35)</f>
        <v>1.5196163654327299</v>
      </c>
      <c r="U39" s="4">
        <f>ABS((U$35-U2)/U$35)</f>
        <v>1.0254917144775351</v>
      </c>
      <c r="V39" s="4">
        <f>ABS((V$35-V2)/V$35)</f>
        <v>6.9766173362731898</v>
      </c>
      <c r="W39" s="4">
        <f>ABS((W$35-W2)/W$35)</f>
        <v>0.8742042978604635</v>
      </c>
      <c r="X39" s="4">
        <f>ABS((X$35-X2)/X$35)</f>
        <v>0</v>
      </c>
      <c r="Y39" s="4">
        <f>ABS((Y$35-Y2)/Y$35)</f>
        <v>0.21717993418376005</v>
      </c>
      <c r="Z39" s="4">
        <f>ABS((Z$35-Z2)/Z$35)</f>
        <v>0.64793825149536</v>
      </c>
      <c r="AA39" s="4">
        <f>ABS((AA$35-AA2)/AA$35)</f>
        <v>0.56239676475524902</v>
      </c>
      <c r="AB39" s="4">
        <f>ABS((AB$35-AB2)/AB$35)</f>
        <v>0.57918688654899597</v>
      </c>
      <c r="AC39" s="4">
        <f>ABS((AC$35-AC2)/AC$35)</f>
        <v>0.43241268396377996</v>
      </c>
      <c r="AD39" s="4">
        <f>ABS((AD$35-AD2)/AD$35)</f>
        <v>0.53843045234679998</v>
      </c>
      <c r="AE39" s="4">
        <f>ABS((AE$35-AE2)/AE$35)</f>
        <v>0.23672711849212491</v>
      </c>
      <c r="AF39" s="4">
        <f>ABS((AF$35-AF2)/AF$35)</f>
        <v>8.769738674163996E-2</v>
      </c>
      <c r="AG39" s="15">
        <f>SUMPRODUCT($C$36:$AF$36,C39:AF39)/SUM($C$36:$AF$36)</f>
        <v>0.59056464063900505</v>
      </c>
      <c r="AH39" s="15">
        <f>SUMPRODUCT($C$37:$AF$37,C39:AF39)/SUM($C$37:$AF$37)</f>
        <v>0.71811147970549805</v>
      </c>
      <c r="AI39" s="6">
        <f>B2</f>
        <v>0.590337514877319</v>
      </c>
    </row>
    <row r="40" spans="1:36" x14ac:dyDescent="0.35">
      <c r="A40" t="str">
        <f>A3</f>
        <v>Model_18</v>
      </c>
      <c r="B40" s="1" t="s">
        <v>153</v>
      </c>
      <c r="C40" s="4">
        <f>ABS((C$35-C3)/C$35)</f>
        <v>4.3792343139650039E-2</v>
      </c>
      <c r="D40" s="4">
        <f>ABS((D$35-D3)/D$35)</f>
        <v>0</v>
      </c>
      <c r="E40" s="4">
        <f>ABS((E$35-E3)/E$35)</f>
        <v>1.0153365532557166</v>
      </c>
      <c r="F40" s="4">
        <f>ABS((F$35-F3)/F$35)</f>
        <v>2.6953157186508001</v>
      </c>
      <c r="G40" s="4">
        <f>ABS((G$35-G3)/G$35)</f>
        <v>1.1881248950958252</v>
      </c>
      <c r="H40" s="4">
        <f>ABS((H$35-H3)/H$35)</f>
        <v>0.65615677833556874</v>
      </c>
      <c r="I40" s="4">
        <f>ABS((I$35-I3)/I$35)</f>
        <v>2.8280040025710993</v>
      </c>
      <c r="J40" s="4">
        <f>ABS((J$35-J3)/J$35)</f>
        <v>0.78252103552222374</v>
      </c>
      <c r="K40" s="4">
        <f>ABS((K$35-K3)/K$35)</f>
        <v>0.490324735641475</v>
      </c>
      <c r="L40" s="4">
        <f>ABS((L$35-L3)/L$35)</f>
        <v>0.57057419419288435</v>
      </c>
      <c r="M40" s="4">
        <f>ABS((M$35-M3)/M$35)</f>
        <v>0.18668603897094668</v>
      </c>
      <c r="N40" s="4">
        <f>ABS((N$35-N3)/N$35)</f>
        <v>0</v>
      </c>
      <c r="O40" s="4">
        <f>ABS((O$35-O3)/O$35)</f>
        <v>0.51645193099975606</v>
      </c>
      <c r="P40" s="4">
        <f>ABS((P$35-P3)/P$35)</f>
        <v>0.42186838388443004</v>
      </c>
      <c r="Q40" s="4">
        <f>ABS((Q$35-Q3)/Q$35)</f>
        <v>0.259800529479981</v>
      </c>
      <c r="R40" s="4">
        <f>ABS((R$35-R3)/R$35)</f>
        <v>0.43975478410721003</v>
      </c>
      <c r="S40" s="4">
        <f>ABS((S$35-S3)/S$35)</f>
        <v>0.2949382066726649</v>
      </c>
      <c r="T40" s="4">
        <f>ABS((T$35-T3)/T$35)</f>
        <v>0.92344260215759277</v>
      </c>
      <c r="U40" s="4">
        <f>ABS((U$35-U3)/U$35)</f>
        <v>0.47537291049957497</v>
      </c>
      <c r="V40" s="4">
        <f>ABS((V$35-V3)/V$35)</f>
        <v>3.2115068435668901</v>
      </c>
      <c r="W40" s="4">
        <f>ABS((W$35-W3)/W$35)</f>
        <v>0.16811585426330669</v>
      </c>
      <c r="X40" s="4">
        <f>ABS((X$35-X3)/X$35)</f>
        <v>0</v>
      </c>
      <c r="Y40" s="4">
        <f>ABS((Y$35-Y3)/Y$35)</f>
        <v>3.6549870173136334</v>
      </c>
      <c r="Z40" s="4">
        <f>ABS((Z$35-Z3)/Z$35)</f>
        <v>3.6474800109863201</v>
      </c>
      <c r="AA40" s="4">
        <f>ABS((AA$35-AA3)/AA$35)</f>
        <v>0.43809261322021503</v>
      </c>
      <c r="AB40" s="4">
        <f>ABS((AB$35-AB3)/AB$35)</f>
        <v>0.57470116019249007</v>
      </c>
      <c r="AC40" s="4">
        <f>ABS((AC$35-AC3)/AC$35)</f>
        <v>1.6973972320559971E-2</v>
      </c>
      <c r="AD40" s="4">
        <f>ABS((AD$35-AD3)/AD$35)</f>
        <v>0.93290624022483826</v>
      </c>
      <c r="AE40" s="4">
        <f>ABS((AE$35-AE3)/AE$35)</f>
        <v>0.54022440314292952</v>
      </c>
      <c r="AF40" s="4">
        <f>ABS((AF$35-AF3)/AF$35)</f>
        <v>0.51546683907509006</v>
      </c>
      <c r="AG40" s="15">
        <f t="shared" ref="AG40:AG68" si="2">SUMPRODUCT($C$36:$AF$36,C40:AF40)/SUM($C$36:$AF$36)</f>
        <v>1.3722259834960622</v>
      </c>
      <c r="AH40" s="15">
        <f t="shared" ref="AH40:AH68" si="3">SUMPRODUCT($C$37:$AF$37,C40:AF40)/SUM($C$37:$AF$37)</f>
        <v>1.018108170277173</v>
      </c>
      <c r="AI40" s="6">
        <f>B3</f>
        <v>0.59173369407653797</v>
      </c>
    </row>
    <row r="41" spans="1:36" x14ac:dyDescent="0.35">
      <c r="A41" t="str">
        <f>A4</f>
        <v>Model_21</v>
      </c>
      <c r="B41" s="1" t="s">
        <v>153</v>
      </c>
      <c r="C41" s="4">
        <f>ABS((C$35-C4)/C$35)</f>
        <v>0.33949913978576801</v>
      </c>
      <c r="D41" s="4">
        <f>ABS((D$35-D4)/D$35)</f>
        <v>0</v>
      </c>
      <c r="E41" s="4">
        <f>ABS((E$35-E4)/E$35)</f>
        <v>0.85509275148312247</v>
      </c>
      <c r="F41" s="4">
        <f>ABS((F$35-F4)/F$35)</f>
        <v>0.67922210693359497</v>
      </c>
      <c r="G41" s="4">
        <f>ABS((G$35-G4)/G$35)</f>
        <v>0.63851487636566251</v>
      </c>
      <c r="H41" s="4">
        <f>ABS((H$35-H4)/H$35)</f>
        <v>1.4978181421756744</v>
      </c>
      <c r="I41" s="4">
        <f>ABS((I$35-I4)/I$35)</f>
        <v>0.77984327077864979</v>
      </c>
      <c r="J41" s="4">
        <f>ABS((J$35-J4)/J$35)</f>
        <v>1.4479325115680624</v>
      </c>
      <c r="K41" s="4">
        <f>ABS((K$35-K4)/K$35)</f>
        <v>0.51626899838447482</v>
      </c>
      <c r="L41" s="4">
        <f>ABS((L$35-L4)/L$35)</f>
        <v>6.5489247441293807E-2</v>
      </c>
      <c r="M41" s="4">
        <f>ABS((M$35-M4)/M$35)</f>
        <v>2.0266036987304683</v>
      </c>
      <c r="N41" s="4">
        <f>ABS((N$35-N4)/N$35)</f>
        <v>0</v>
      </c>
      <c r="O41" s="4">
        <f>ABS((O$35-O4)/O$35)</f>
        <v>0.50432491302490001</v>
      </c>
      <c r="P41" s="4">
        <f>ABS((P$35-P4)/P$35)</f>
        <v>9.7491502761840803</v>
      </c>
      <c r="Q41" s="4">
        <f>ABS((Q$35-Q4)/Q$35)</f>
        <v>0.54972443580627506</v>
      </c>
      <c r="R41" s="4">
        <f>ABS((R$35-R4)/R$35)</f>
        <v>1.620095551013945</v>
      </c>
      <c r="S41" s="4">
        <f>ABS((S$35-S4)/S$35)</f>
        <v>1.217020511627195</v>
      </c>
      <c r="T41" s="4">
        <f>ABS((T$35-T4)/T$35)</f>
        <v>0.36853408813476007</v>
      </c>
      <c r="U41" s="4">
        <f>ABS((U$35-U4)/U$35)</f>
        <v>0.15231895446777499</v>
      </c>
      <c r="V41" s="4">
        <f>ABS((V$35-V4)/V$35)</f>
        <v>3.0897793769836399</v>
      </c>
      <c r="W41" s="4">
        <f>ABS((W$35-W4)/W$35)</f>
        <v>2.5518337885538294E-2</v>
      </c>
      <c r="X41" s="4">
        <f>ABS((X$35-X4)/X$35)</f>
        <v>0</v>
      </c>
      <c r="Y41" s="4">
        <f>ABS((Y$35-Y4)/Y$35)</f>
        <v>0.1373949050903267</v>
      </c>
      <c r="Z41" s="4">
        <f>ABS((Z$35-Z4)/Z$35)</f>
        <v>6.8033039569855958E-2</v>
      </c>
      <c r="AA41" s="4">
        <f>ABS((AA$35-AA4)/AA$35)</f>
        <v>0.35102872848510802</v>
      </c>
      <c r="AB41" s="4">
        <f>ABS((AB$35-AB4)/AB$35)</f>
        <v>1.8937287926673849</v>
      </c>
      <c r="AC41" s="4">
        <f>ABS((AC$35-AC4)/AC$35)</f>
        <v>2.1953375339508052</v>
      </c>
      <c r="AD41" s="4">
        <f>ABS((AD$35-AD4)/AD$35)</f>
        <v>4.4055509567260698</v>
      </c>
      <c r="AE41" s="4">
        <f>ABS((AE$35-AE4)/AE$35)</f>
        <v>2.3482418060302699</v>
      </c>
      <c r="AF41" s="4">
        <f>ABS((AF$35-AF4)/AF$35)</f>
        <v>1.0635964870452876</v>
      </c>
      <c r="AG41" s="15">
        <f t="shared" si="2"/>
        <v>1.5983154631875172</v>
      </c>
      <c r="AH41" s="15">
        <f t="shared" si="3"/>
        <v>1.4290986458644441</v>
      </c>
      <c r="AI41" s="6">
        <f>B4</f>
        <v>0.59209394454955999</v>
      </c>
    </row>
    <row r="42" spans="1:36" x14ac:dyDescent="0.35">
      <c r="A42" t="str">
        <f>A5</f>
        <v>Model_31</v>
      </c>
      <c r="B42" s="1" t="s">
        <v>153</v>
      </c>
      <c r="C42" s="4">
        <f>ABS((C$35-C5)/C$35)</f>
        <v>0.729188108444214</v>
      </c>
      <c r="D42" s="4">
        <f>ABS((D$35-D5)/D$35)</f>
        <v>0</v>
      </c>
      <c r="E42" s="4">
        <f>ABS((E$35-E5)/E$35)</f>
        <v>0.94352975860238075</v>
      </c>
      <c r="F42" s="4">
        <f>ABS((F$35-F5)/F$35)</f>
        <v>0.48752522468567</v>
      </c>
      <c r="G42" s="4">
        <f>ABS((G$35-G5)/G$35)</f>
        <v>0.89276675134897232</v>
      </c>
      <c r="H42" s="4">
        <f>ABS((H$35-H5)/H$35)</f>
        <v>1.1581149548292156</v>
      </c>
      <c r="I42" s="4">
        <f>ABS((I$35-I5)/I$35)</f>
        <v>0.46383494883775755</v>
      </c>
      <c r="J42" s="4">
        <f>ABS((J$35-J5)/J$35)</f>
        <v>0.78024868294596761</v>
      </c>
      <c r="K42" s="4">
        <f>ABS((K$35-K5)/K$35)</f>
        <v>0.86144984140992198</v>
      </c>
      <c r="L42" s="4">
        <f>ABS((L$35-L5)/L$35)</f>
        <v>0.91335554979741607</v>
      </c>
      <c r="M42" s="4">
        <f>ABS((M$35-M5)/M$35)</f>
        <v>0.21831536293029666</v>
      </c>
      <c r="N42" s="4">
        <f>ABS((N$35-N5)/N$35)</f>
        <v>0</v>
      </c>
      <c r="O42" s="4">
        <f>ABS((O$35-O5)/O$35)</f>
        <v>3.4695339202879968E-2</v>
      </c>
      <c r="P42" s="4">
        <f>ABS((P$35-P5)/P$35)</f>
        <v>0.66024613380431996</v>
      </c>
      <c r="Q42" s="4">
        <f>ABS((Q$35-Q5)/Q$35)</f>
        <v>0.38732285499572799</v>
      </c>
      <c r="R42" s="4">
        <f>ABS((R$35-R5)/R$35)</f>
        <v>1.903389811515805</v>
      </c>
      <c r="S42" s="4">
        <f>ABS((S$35-S5)/S$35)</f>
        <v>2.0633790493011448</v>
      </c>
      <c r="T42" s="4">
        <f>ABS((T$35-T5)/T$35)</f>
        <v>4.5060057640075604</v>
      </c>
      <c r="U42" s="4">
        <f>ABS((U$35-U5)/U$35)</f>
        <v>2.4714603424072248</v>
      </c>
      <c r="V42" s="4">
        <f>ABS((V$35-V5)/V$35)</f>
        <v>9.6837215423583896</v>
      </c>
      <c r="W42" s="4">
        <f>ABS((W$35-W5)/W$35)</f>
        <v>1.0745046933492002</v>
      </c>
      <c r="X42" s="4">
        <f>ABS((X$35-X5)/X$35)</f>
        <v>0</v>
      </c>
      <c r="Y42" s="4">
        <f>ABS((Y$35-Y5)/Y$35)</f>
        <v>4.3518543243465935E-3</v>
      </c>
      <c r="Z42" s="4">
        <f>ABS((Z$35-Z5)/Z$35)</f>
        <v>4.5301735401154009E-2</v>
      </c>
      <c r="AA42" s="4">
        <f>ABS((AA$35-AA5)/AA$35)</f>
        <v>0.52041482925415006</v>
      </c>
      <c r="AB42" s="4">
        <f>ABS((AB$35-AB5)/AB$35)</f>
        <v>3.2418451309204102</v>
      </c>
      <c r="AC42" s="4">
        <f>ABS((AC$35-AC5)/AC$35)</f>
        <v>6.6020584106445002</v>
      </c>
      <c r="AD42" s="4">
        <f>ABS((AD$35-AD5)/AD$35)</f>
        <v>8.3673810958862305</v>
      </c>
      <c r="AE42" s="4">
        <f>ABS((AE$35-AE5)/AE$35)</f>
        <v>4.9060039520263503</v>
      </c>
      <c r="AF42" s="4">
        <f>ABS((AF$35-AF5)/AF$35)</f>
        <v>2.6934092044830251</v>
      </c>
      <c r="AG42" s="15">
        <f t="shared" si="2"/>
        <v>0.46640646786049583</v>
      </c>
      <c r="AH42" s="15">
        <f t="shared" si="3"/>
        <v>2.0968081825079348</v>
      </c>
      <c r="AI42" s="6">
        <f>B5</f>
        <v>0.59062117338180498</v>
      </c>
    </row>
    <row r="43" spans="1:36" x14ac:dyDescent="0.35">
      <c r="A43" t="str">
        <f>A6</f>
        <v>Model_34</v>
      </c>
      <c r="B43" s="1" t="s">
        <v>153</v>
      </c>
      <c r="C43" s="4">
        <f>ABS((C$35-C6)/C$35)</f>
        <v>0.69988188743591395</v>
      </c>
      <c r="D43" s="4">
        <f>ABS((D$35-D6)/D$35)</f>
        <v>0</v>
      </c>
      <c r="E43" s="4">
        <f>ABS((E$35-E6)/E$35)</f>
        <v>0.84680655101935087</v>
      </c>
      <c r="F43" s="4">
        <f>ABS((F$35-F6)/F$35)</f>
        <v>0.51113548129797004</v>
      </c>
      <c r="G43" s="4">
        <f>ABS((G$35-G6)/G$35)</f>
        <v>0.64138454198837369</v>
      </c>
      <c r="H43" s="4">
        <f>ABS((H$35-H6)/H$35)</f>
        <v>0.64438144117593821</v>
      </c>
      <c r="I43" s="4">
        <f>ABS((I$35-I6)/I$35)</f>
        <v>0.53710503876209315</v>
      </c>
      <c r="J43" s="4">
        <f>ABS((J$35-J6)/J$35)</f>
        <v>0.60793096572160754</v>
      </c>
      <c r="K43" s="4">
        <f>ABS((K$35-K6)/K$35)</f>
        <v>0.70650488510727938</v>
      </c>
      <c r="L43" s="4">
        <f>ABS((L$35-L6)/L$35)</f>
        <v>0.79582455009222031</v>
      </c>
      <c r="M43" s="4">
        <f>ABS((M$35-M6)/M$35)</f>
        <v>1.0355354373653729</v>
      </c>
      <c r="N43" s="4">
        <f>ABS((N$35-N6)/N$35)</f>
        <v>0</v>
      </c>
      <c r="O43" s="4">
        <f>ABS((O$35-O6)/O$35)</f>
        <v>2.3985210418701159</v>
      </c>
      <c r="P43" s="4">
        <f>ABS((P$35-P6)/P$35)</f>
        <v>12.8334903717041</v>
      </c>
      <c r="Q43" s="4">
        <f>ABS((Q$35-Q6)/Q$35)</f>
        <v>0.39448375701903993</v>
      </c>
      <c r="R43" s="4">
        <f>ABS((R$35-R6)/R$35)</f>
        <v>0.38283026218413996</v>
      </c>
      <c r="S43" s="4">
        <f>ABS((S$35-S6)/S$35)</f>
        <v>0.79997670650482</v>
      </c>
      <c r="T43" s="4">
        <f>ABS((T$35-T6)/T$35)</f>
        <v>1.7225105762481601</v>
      </c>
      <c r="U43" s="4">
        <f>ABS((U$35-U6)/U$35)</f>
        <v>1.0380177497863752</v>
      </c>
      <c r="V43" s="4">
        <f>ABS((V$35-V6)/V$35)</f>
        <v>6.6711430549621502</v>
      </c>
      <c r="W43" s="4">
        <f>ABS((W$35-W6)/W$35)</f>
        <v>0.21389245986938507</v>
      </c>
      <c r="X43" s="4">
        <f>ABS((X$35-X6)/X$35)</f>
        <v>0</v>
      </c>
      <c r="Y43" s="4">
        <f>ABS((Y$35-Y6)/Y$35)</f>
        <v>6.7956209182733332E-2</v>
      </c>
      <c r="Z43" s="4">
        <f>ABS((Z$35-Z6)/Z$35)</f>
        <v>0.10705339908599809</v>
      </c>
      <c r="AA43" s="4">
        <f>ABS((AA$35-AA6)/AA$35)</f>
        <v>5.4378795623770057E-2</v>
      </c>
      <c r="AB43" s="4">
        <f>ABS((AB$35-AB6)/AB$35)</f>
        <v>4.5567512512205033E-2</v>
      </c>
      <c r="AC43" s="4">
        <f>ABS((AC$35-AC6)/AC$35)</f>
        <v>0.36097466945647994</v>
      </c>
      <c r="AD43" s="4">
        <f>ABS((AD$35-AD6)/AD$35)</f>
        <v>1.6490461826324401</v>
      </c>
      <c r="AE43" s="4">
        <f>ABS((AE$35-AE6)/AE$35)</f>
        <v>0.9830236434936499</v>
      </c>
      <c r="AF43" s="4">
        <f>ABS((AF$35-AF6)/AF$35)</f>
        <v>0.37952828407287509</v>
      </c>
      <c r="AG43" s="15">
        <f t="shared" si="2"/>
        <v>2.0793636487589935</v>
      </c>
      <c r="AH43" s="15">
        <f t="shared" si="3"/>
        <v>1.3751439057842432</v>
      </c>
      <c r="AI43" s="6">
        <f>B6</f>
        <v>0.59291458129882801</v>
      </c>
    </row>
    <row r="44" spans="1:36" x14ac:dyDescent="0.35">
      <c r="A44" t="str">
        <f>A7</f>
        <v>Model_47</v>
      </c>
      <c r="B44" s="1" t="s">
        <v>153</v>
      </c>
      <c r="C44" s="4">
        <f>ABS((C$35-C7)/C$35)</f>
        <v>0.64089102745056203</v>
      </c>
      <c r="D44" s="4">
        <f>ABS((D$35-D7)/D$35)</f>
        <v>0</v>
      </c>
      <c r="E44" s="4">
        <f>ABS((E$35-E7)/E$35)</f>
        <v>0.86684831480185243</v>
      </c>
      <c r="F44" s="4">
        <f>ABS((F$35-F7)/F$35)</f>
        <v>5.8879092335702571E-2</v>
      </c>
      <c r="G44" s="4">
        <f>ABS((G$35-G7)/G$35)</f>
        <v>0.69407817721366993</v>
      </c>
      <c r="H44" s="4">
        <f>ABS((H$35-H7)/H$35)</f>
        <v>0.95326611679047346</v>
      </c>
      <c r="I44" s="4">
        <f>ABS((I$35-I7)/I$35)</f>
        <v>0.23850849270820637</v>
      </c>
      <c r="J44" s="4">
        <f>ABS((J$35-J7)/J$35)</f>
        <v>0.2147151678800574</v>
      </c>
      <c r="K44" s="4">
        <f>ABS((K$35-K7)/K$35)</f>
        <v>5.5043384432793829E-2</v>
      </c>
      <c r="L44" s="4">
        <f>ABS((L$35-L7)/L$35)</f>
        <v>0.32337559759616885</v>
      </c>
      <c r="M44" s="4">
        <f>ABS((M$35-M7)/M$35)</f>
        <v>1.3901717265446967</v>
      </c>
      <c r="N44" s="4">
        <f>ABS((N$35-N7)/N$35)</f>
        <v>0</v>
      </c>
      <c r="O44" s="4">
        <f>ABS((O$35-O7)/O$35)</f>
        <v>0.29139299392700002</v>
      </c>
      <c r="P44" s="4">
        <f>ABS((P$35-P7)/P$35)</f>
        <v>12.74515151977538</v>
      </c>
      <c r="Q44" s="4">
        <f>ABS((Q$35-Q7)/Q$35)</f>
        <v>0.596504926681519</v>
      </c>
      <c r="R44" s="4">
        <f>ABS((R$35-R7)/R$35)</f>
        <v>0.93836041167378448</v>
      </c>
      <c r="S44" s="4">
        <f>ABS((S$35-S7)/S$35)</f>
        <v>4.367709159849964E-3</v>
      </c>
      <c r="T44" s="4">
        <f>ABS((T$35-T7)/T$35)</f>
        <v>0.37072157859802002</v>
      </c>
      <c r="U44" s="4">
        <f>ABS((U$35-U7)/U$35)</f>
        <v>6.6317915916439985E-2</v>
      </c>
      <c r="V44" s="4">
        <f>ABS((V$35-V7)/V$35)</f>
        <v>4.05409479141235</v>
      </c>
      <c r="W44" s="4">
        <f>ABS((W$35-W7)/W$35)</f>
        <v>0.25909248987833494</v>
      </c>
      <c r="X44" s="4">
        <f>ABS((X$35-X7)/X$35)</f>
        <v>0</v>
      </c>
      <c r="Y44" s="4">
        <f>ABS((Y$35-Y7)/Y$35)</f>
        <v>0.18201804161071333</v>
      </c>
      <c r="Z44" s="4">
        <f>ABS((Z$35-Z7)/Z$35)</f>
        <v>0.74966397881508007</v>
      </c>
      <c r="AA44" s="4">
        <f>ABS((AA$35-AA7)/AA$35)</f>
        <v>6.0212230682373045E-2</v>
      </c>
      <c r="AB44" s="4">
        <f>ABS((AB$35-AB7)/AB$35)</f>
        <v>0.856434166431427</v>
      </c>
      <c r="AC44" s="4">
        <f>ABS((AC$35-AC7)/AC$35)</f>
        <v>1.3392910957336399</v>
      </c>
      <c r="AD44" s="4">
        <f>ABS((AD$35-AD7)/AD$35)</f>
        <v>1.3275513648986799</v>
      </c>
      <c r="AE44" s="4">
        <f>ABS((AE$35-AE7)/AE$35)</f>
        <v>0.81065917015075506</v>
      </c>
      <c r="AF44" s="4">
        <f>ABS((AF$35-AF7)/AF$35)</f>
        <v>0.29649996757507258</v>
      </c>
      <c r="AG44" s="15">
        <f t="shared" si="2"/>
        <v>1.90934546501548</v>
      </c>
      <c r="AH44" s="15">
        <f t="shared" si="3"/>
        <v>1.1253374611360965</v>
      </c>
      <c r="AI44" s="6">
        <f>B7</f>
        <v>0.59232783317565896</v>
      </c>
    </row>
    <row r="45" spans="1:36" x14ac:dyDescent="0.35">
      <c r="A45" t="str">
        <f>A8</f>
        <v>Model_76</v>
      </c>
      <c r="B45" s="1" t="s">
        <v>153</v>
      </c>
      <c r="C45" s="4">
        <f>ABS((C$35-C8)/C$35)</f>
        <v>0.17906599044799804</v>
      </c>
      <c r="D45" s="4">
        <f>ABS((D$35-D8)/D$35)</f>
        <v>0</v>
      </c>
      <c r="E45" s="4">
        <f>ABS((E$35-E8)/E$35)</f>
        <v>1.2235581874841714E-2</v>
      </c>
      <c r="F45" s="4">
        <f>ABS((F$35-F8)/F$35)</f>
        <v>0.24692884087562761</v>
      </c>
      <c r="G45" s="4">
        <f>ABS((G$35-G8)/G$35)</f>
        <v>0.34873324632644753</v>
      </c>
      <c r="H45" s="4">
        <f>ABS((H$35-H8)/H$35)</f>
        <v>1.9176453202962875</v>
      </c>
      <c r="I45" s="4">
        <f>ABS((I$35-I8)/I$35)</f>
        <v>2.2418498396873434</v>
      </c>
      <c r="J45" s="4">
        <f>ABS((J$35-J8)/J$35)</f>
        <v>5.9551789760589502</v>
      </c>
      <c r="K45" s="4">
        <f>ABS((K$35-K8)/K$35)</f>
        <v>3.118330478668212</v>
      </c>
      <c r="L45" s="4">
        <f>ABS((L$35-L8)/L$35)</f>
        <v>1.4431261420249935</v>
      </c>
      <c r="M45" s="4">
        <f>ABS((M$35-M8)/M$35)</f>
        <v>0.50124533971150831</v>
      </c>
      <c r="N45" s="4">
        <f>ABS((N$35-N8)/N$35)</f>
        <v>0</v>
      </c>
      <c r="O45" s="4">
        <f>ABS((O$35-O8)/O$35)</f>
        <v>4.5626926422115945E-2</v>
      </c>
      <c r="P45" s="4">
        <f>ABS((P$35-P8)/P$35)</f>
        <v>3.5625300407409597</v>
      </c>
      <c r="Q45" s="4">
        <f>ABS((Q$35-Q8)/Q$35)</f>
        <v>0.13066263198852593</v>
      </c>
      <c r="R45" s="4">
        <f>ABS((R$35-R8)/R$35)</f>
        <v>2.2249104976654053</v>
      </c>
      <c r="S45" s="4">
        <f>ABS((S$35-S8)/S$35)</f>
        <v>3.3273534774780247</v>
      </c>
      <c r="T45" s="4">
        <f>ABS((T$35-T8)/T$35)</f>
        <v>6.7225713729858398</v>
      </c>
      <c r="U45" s="4">
        <f>ABS((U$35-U8)/U$35)</f>
        <v>3.5727219581604004</v>
      </c>
      <c r="V45" s="4">
        <f>ABS((V$35-V8)/V$35)</f>
        <v>11.8507442474365</v>
      </c>
      <c r="W45" s="4">
        <f>ABS((W$35-W8)/W$35)</f>
        <v>1.0420467754205067</v>
      </c>
      <c r="X45" s="4">
        <f>ABS((X$35-X8)/X$35)</f>
        <v>0</v>
      </c>
      <c r="Y45" s="4">
        <f>ABS((Y$35-Y8)/Y$35)</f>
        <v>0.46886972586313935</v>
      </c>
      <c r="Z45" s="4">
        <f>ABS((Z$35-Z8)/Z$35)</f>
        <v>0.64738038182258806</v>
      </c>
      <c r="AA45" s="4">
        <f>ABS((AA$35-AA8)/AA$35)</f>
        <v>0.77738897800445605</v>
      </c>
      <c r="AB45" s="4">
        <f>ABS((AB$35-AB8)/AB$35)</f>
        <v>1.3136625587940216</v>
      </c>
      <c r="AC45" s="4">
        <f>ABS((AC$35-AC8)/AC$35)</f>
        <v>0.10810446739196511</v>
      </c>
      <c r="AD45" s="4">
        <f>ABS((AD$35-AD8)/AD$35)</f>
        <v>0.36947858333587003</v>
      </c>
      <c r="AE45" s="4">
        <f>ABS((AE$35-AE8)/AE$35)</f>
        <v>0.18909847736358998</v>
      </c>
      <c r="AF45" s="4">
        <f>ABS((AF$35-AF8)/AF$35)</f>
        <v>0.51894706487655751</v>
      </c>
      <c r="AG45" s="15">
        <f t="shared" si="2"/>
        <v>0.74510328924214275</v>
      </c>
      <c r="AH45" s="15">
        <f t="shared" si="3"/>
        <v>1.9569051082119504</v>
      </c>
      <c r="AI45" s="6">
        <f>B8</f>
        <v>0.58833014965057295</v>
      </c>
    </row>
    <row r="46" spans="1:36" x14ac:dyDescent="0.35">
      <c r="A46" t="str">
        <f>A9</f>
        <v>Model_79</v>
      </c>
      <c r="B46" s="1" t="s">
        <v>153</v>
      </c>
      <c r="C46" s="4">
        <f>ABS((C$35-C9)/C$35)</f>
        <v>0.40351910591125606</v>
      </c>
      <c r="D46" s="4">
        <f>ABS((D$35-D9)/D$35)</f>
        <v>0</v>
      </c>
      <c r="E46" s="4">
        <f>ABS((E$35-E9)/E$35)</f>
        <v>0.11684364080429166</v>
      </c>
      <c r="F46" s="4">
        <f>ABS((F$35-F9)/F$35)</f>
        <v>0.665162593126295</v>
      </c>
      <c r="G46" s="4">
        <f>ABS((G$35-G9)/G$35)</f>
        <v>0.39058303833007879</v>
      </c>
      <c r="H46" s="4">
        <f>ABS((H$35-H9)/H$35)</f>
        <v>0.27133560180664384</v>
      </c>
      <c r="I46" s="4">
        <f>ABS((I$35-I9)/I$35)</f>
        <v>0.41389743238687565</v>
      </c>
      <c r="J46" s="4">
        <f>ABS((J$35-J9)/J$35)</f>
        <v>0.84693613834679249</v>
      </c>
      <c r="K46" s="4">
        <f>ABS((K$35-K9)/K$35)</f>
        <v>0.67356447130441699</v>
      </c>
      <c r="L46" s="4">
        <f>ABS((L$35-L9)/L$35)</f>
        <v>0.69295296818017971</v>
      </c>
      <c r="M46" s="4">
        <f>ABS((M$35-M9)/M$35)</f>
        <v>0.13153696060180664</v>
      </c>
      <c r="N46" s="4">
        <f>ABS((N$35-N9)/N$35)</f>
        <v>0</v>
      </c>
      <c r="O46" s="4">
        <f>ABS((O$35-O9)/O$35)</f>
        <v>0.53548960685729996</v>
      </c>
      <c r="P46" s="4">
        <f>ABS((P$35-P9)/P$35)</f>
        <v>0.10363608598709195</v>
      </c>
      <c r="Q46" s="4">
        <f>ABS((Q$35-Q9)/Q$35)</f>
        <v>0.12079381942749094</v>
      </c>
      <c r="R46" s="4">
        <f>ABS((R$35-R9)/R$35)</f>
        <v>5.1244497299189895E-2</v>
      </c>
      <c r="S46" s="4">
        <f>ABS((S$35-S9)/S$35)</f>
        <v>0.15442985296249501</v>
      </c>
      <c r="T46" s="4">
        <f>ABS((T$35-T9)/T$35)</f>
        <v>0.65616109967231795</v>
      </c>
      <c r="U46" s="4">
        <f>ABS((U$35-U9)/U$35)</f>
        <v>0.26670283079147505</v>
      </c>
      <c r="V46" s="4">
        <f>ABS((V$35-V9)/V$35)</f>
        <v>3.7589731216430602</v>
      </c>
      <c r="W46" s="4">
        <f>ABS((W$35-W9)/W$35)</f>
        <v>7.2348356246946618E-2</v>
      </c>
      <c r="X46" s="4">
        <f>ABS((X$35-X9)/X$35)</f>
        <v>0</v>
      </c>
      <c r="Y46" s="4">
        <f>ABS((Y$35-Y9)/Y$35)</f>
        <v>0.74458074569702004</v>
      </c>
      <c r="Z46" s="4">
        <f>ABS((Z$35-Z9)/Z$35)</f>
        <v>0.14640343189239391</v>
      </c>
      <c r="AA46" s="4">
        <f>ABS((AA$35-AA9)/AA$35)</f>
        <v>0.21926422119140004</v>
      </c>
      <c r="AB46" s="4">
        <f>ABS((AB$35-AB9)/AB$35)</f>
        <v>0.45784330368041992</v>
      </c>
      <c r="AC46" s="4">
        <f>ABS((AC$35-AC9)/AC$35)</f>
        <v>0.17261862754821511</v>
      </c>
      <c r="AD46" s="4">
        <f>ABS((AD$35-AD9)/AD$35)</f>
        <v>0.75465780496597301</v>
      </c>
      <c r="AE46" s="4">
        <f>ABS((AE$35-AE9)/AE$35)</f>
        <v>0.47676450014114502</v>
      </c>
      <c r="AF46" s="4">
        <f>ABS((AF$35-AF9)/AF$35)</f>
        <v>0.50784185528755255</v>
      </c>
      <c r="AG46" s="15">
        <f t="shared" si="2"/>
        <v>0.32439116968048914</v>
      </c>
      <c r="AH46" s="15">
        <f t="shared" si="3"/>
        <v>0.51133650785518969</v>
      </c>
      <c r="AI46" s="6">
        <f>B9</f>
        <v>0.588994920253753</v>
      </c>
    </row>
    <row r="47" spans="1:36" x14ac:dyDescent="0.35">
      <c r="A47" t="str">
        <f>A10</f>
        <v>Model_88</v>
      </c>
      <c r="B47" s="1" t="s">
        <v>153</v>
      </c>
      <c r="C47" s="4">
        <f>ABS((C$35-C10)/C$35)</f>
        <v>7.949705123901403E-2</v>
      </c>
      <c r="D47" s="4">
        <f>ABS((D$35-D10)/D$35)</f>
        <v>0</v>
      </c>
      <c r="E47" s="4">
        <f>ABS((E$35-E10)/E$35)</f>
        <v>0.84156263371308659</v>
      </c>
      <c r="F47" s="4">
        <f>ABS((F$35-F10)/F$35)</f>
        <v>0.27440591156482758</v>
      </c>
      <c r="G47" s="4">
        <f>ABS((G$35-G10)/G$35)</f>
        <v>0.50818613171577498</v>
      </c>
      <c r="H47" s="4">
        <f>ABS((H$35-H10)/H$35)</f>
        <v>1.1600510440766805</v>
      </c>
      <c r="I47" s="4">
        <f>ABS((I$35-I10)/I$35)</f>
        <v>0.62630751729011247</v>
      </c>
      <c r="J47" s="4">
        <f>ABS((J$35-J10)/J$35)</f>
        <v>1.0737931132316498</v>
      </c>
      <c r="K47" s="4">
        <f>ABS((K$35-K10)/K$35)</f>
        <v>0.42579659819602489</v>
      </c>
      <c r="L47" s="4">
        <f>ABS((L$35-L10)/L$35)</f>
        <v>4.6679288148881309E-2</v>
      </c>
      <c r="M47" s="4">
        <f>ABS((M$35-M10)/M$35)</f>
        <v>6.6958745320636684E-2</v>
      </c>
      <c r="N47" s="4">
        <f>ABS((N$35-N10)/N$35)</f>
        <v>0</v>
      </c>
      <c r="O47" s="4">
        <f>ABS((O$35-O10)/O$35)</f>
        <v>0.21701345443725195</v>
      </c>
      <c r="P47" s="4">
        <f>ABS((P$35-P10)/P$35)</f>
        <v>0.230144143104554</v>
      </c>
      <c r="Q47" s="4">
        <f>ABS((Q$35-Q10)/Q$35)</f>
        <v>9.5808219909659972E-2</v>
      </c>
      <c r="R47" s="4">
        <f>ABS((R$35-R10)/R$35)</f>
        <v>1.3566091656684875</v>
      </c>
      <c r="S47" s="4">
        <f>ABS((S$35-S10)/S$35)</f>
        <v>2.6235682964324951</v>
      </c>
      <c r="T47" s="4">
        <f>ABS((T$35-T10)/T$35)</f>
        <v>3.6922736167907697</v>
      </c>
      <c r="U47" s="4">
        <f>ABS((U$35-U10)/U$35)</f>
        <v>2.226082801818845</v>
      </c>
      <c r="V47" s="4">
        <f>ABS((V$35-V10)/V$35)</f>
        <v>9.6281366348266602</v>
      </c>
      <c r="W47" s="4">
        <f>ABS((W$35-W10)/W$35)</f>
        <v>0.99367449184258783</v>
      </c>
      <c r="X47" s="4">
        <f>ABS((X$35-X10)/X$35)</f>
        <v>0</v>
      </c>
      <c r="Y47" s="4">
        <f>ABS((Y$35-Y10)/Y$35)</f>
        <v>0.62428212165832531</v>
      </c>
      <c r="Z47" s="4">
        <f>ABS((Z$35-Z10)/Z$35)</f>
        <v>0.32956719398498402</v>
      </c>
      <c r="AA47" s="4">
        <f>ABS((AA$35-AA10)/AA$35)</f>
        <v>0.87812787294387906</v>
      </c>
      <c r="AB47" s="4">
        <f>ABS((AB$35-AB10)/AB$35)</f>
        <v>1.0396608635783195</v>
      </c>
      <c r="AC47" s="4">
        <f>ABS((AC$35-AC10)/AC$35)</f>
        <v>0.59699887037277244</v>
      </c>
      <c r="AD47" s="4">
        <f>ABS((AD$35-AD10)/AD$35)</f>
        <v>0.64799323678016707</v>
      </c>
      <c r="AE47" s="4">
        <f>ABS((AE$35-AE10)/AE$35)</f>
        <v>0.757984519004822</v>
      </c>
      <c r="AF47" s="4">
        <f>ABS((AF$35-AF10)/AF$35)</f>
        <v>0.83818282186985027</v>
      </c>
      <c r="AG47" s="15">
        <f t="shared" si="2"/>
        <v>0.40634508298502975</v>
      </c>
      <c r="AH47" s="15">
        <f t="shared" si="3"/>
        <v>1.1807165318341155</v>
      </c>
      <c r="AI47" s="6">
        <f>B10</f>
        <v>0.59008109569549505</v>
      </c>
    </row>
    <row r="48" spans="1:36" x14ac:dyDescent="0.35">
      <c r="A48" t="str">
        <f>A11</f>
        <v>Model_89</v>
      </c>
      <c r="B48" s="1" t="s">
        <v>153</v>
      </c>
      <c r="C48" s="4">
        <f>ABS((C$35-C11)/C$35)</f>
        <v>0.89927771091461195</v>
      </c>
      <c r="D48" s="4">
        <f>ABS((D$35-D11)/D$35)</f>
        <v>0</v>
      </c>
      <c r="E48" s="4">
        <f>ABS((E$35-E11)/E$35)</f>
        <v>1.1239443620045917</v>
      </c>
      <c r="F48" s="4">
        <f>ABS((F$35-F11)/F$35)</f>
        <v>0.77468180656432983</v>
      </c>
      <c r="G48" s="4">
        <f>ABS((G$35-G11)/G$35)</f>
        <v>0.57423305511473743</v>
      </c>
      <c r="H48" s="4">
        <f>ABS((H$35-H11)/H$35)</f>
        <v>2.6081376373767808</v>
      </c>
      <c r="I48" s="4">
        <f>ABS((I$35-I11)/I$35)</f>
        <v>5.9221353530883745</v>
      </c>
      <c r="J48" s="4">
        <f>ABS((J$35-J11)/J$35)</f>
        <v>1.4096497893333373</v>
      </c>
      <c r="K48" s="4">
        <f>ABS((K$35-K11)/K$35)</f>
        <v>0.45924180746078125</v>
      </c>
      <c r="L48" s="4">
        <f>ABS((L$35-L11)/L$35)</f>
        <v>0.12338122725486886</v>
      </c>
      <c r="M48" s="4">
        <f>ABS((M$35-M11)/M$35)</f>
        <v>0.28000783920288158</v>
      </c>
      <c r="N48" s="4">
        <f>ABS((N$35-N11)/N$35)</f>
        <v>0</v>
      </c>
      <c r="O48" s="4">
        <f>ABS((O$35-O11)/O$35)</f>
        <v>0.509637832641604</v>
      </c>
      <c r="P48" s="4">
        <f>ABS((P$35-P11)/P$35)</f>
        <v>0.11292284727096602</v>
      </c>
      <c r="Q48" s="4">
        <f>ABS((Q$35-Q11)/Q$35)</f>
        <v>0.44994969367981003</v>
      </c>
      <c r="R48" s="4">
        <f>ABS((R$35-R11)/R$35)</f>
        <v>1.5618969202041599</v>
      </c>
      <c r="S48" s="4">
        <f>ABS((S$35-S11)/S$35)</f>
        <v>1.4186522960662802</v>
      </c>
      <c r="T48" s="4">
        <f>ABS((T$35-T11)/T$35)</f>
        <v>4.1493444442748997</v>
      </c>
      <c r="U48" s="4">
        <f>ABS((U$35-U11)/U$35)</f>
        <v>2.1183526515960649</v>
      </c>
      <c r="V48" s="4">
        <f>ABS((V$35-V11)/V$35)</f>
        <v>8.49322414398193</v>
      </c>
      <c r="W48" s="4">
        <f>ABS((W$35-W11)/W$35)</f>
        <v>0.75766930977503499</v>
      </c>
      <c r="X48" s="4">
        <f>ABS((X$35-X11)/X$35)</f>
        <v>0</v>
      </c>
      <c r="Y48" s="4">
        <f>ABS((Y$35-Y11)/Y$35)</f>
        <v>1.5535707473754867</v>
      </c>
      <c r="Z48" s="4">
        <f>ABS((Z$35-Z11)/Z$35)</f>
        <v>8.8129920959472603</v>
      </c>
      <c r="AA48" s="4">
        <f>ABS((AA$35-AA11)/AA$35)</f>
        <v>0.69973378181457602</v>
      </c>
      <c r="AB48" s="4">
        <f>ABS((AB$35-AB11)/AB$35)</f>
        <v>1.306733101606369</v>
      </c>
      <c r="AC48" s="4">
        <f>ABS((AC$35-AC11)/AC$35)</f>
        <v>0.32031488418578991</v>
      </c>
      <c r="AD48" s="4">
        <f>ABS((AD$35-AD11)/AD$35)</f>
        <v>0.21353650093077992</v>
      </c>
      <c r="AE48" s="4">
        <f>ABS((AE$35-AE11)/AE$35)</f>
        <v>0.26510351896286499</v>
      </c>
      <c r="AF48" s="4">
        <f>ABS((AF$35-AF11)/AF$35)</f>
        <v>0.55852141976356751</v>
      </c>
      <c r="AG48" s="15">
        <f t="shared" si="2"/>
        <v>1.6471893946329741</v>
      </c>
      <c r="AH48" s="15">
        <f t="shared" si="3"/>
        <v>1.7584017325330645</v>
      </c>
      <c r="AI48" s="6">
        <f>B11</f>
        <v>0.59065878391265803</v>
      </c>
    </row>
    <row r="49" spans="1:35" x14ac:dyDescent="0.35">
      <c r="A49" t="str">
        <f>A12</f>
        <v>Model_90</v>
      </c>
      <c r="B49" s="1" t="s">
        <v>153</v>
      </c>
      <c r="C49" s="4">
        <f>ABS((C$35-C12)/C$35)</f>
        <v>0.46044883728027397</v>
      </c>
      <c r="D49" s="4">
        <f>ABS((D$35-D12)/D$35)</f>
        <v>0</v>
      </c>
      <c r="E49" s="4">
        <f>ABS((E$35-E12)/E$35)</f>
        <v>0.79253288358450003</v>
      </c>
      <c r="F49" s="4">
        <f>ABS((F$35-F12)/F$35)</f>
        <v>0.65661585330963246</v>
      </c>
      <c r="G49" s="4">
        <f>ABS((G$35-G12)/G$35)</f>
        <v>0.76422482728958252</v>
      </c>
      <c r="H49" s="4">
        <f>ABS((H$35-H12)/H$35)</f>
        <v>1.0382380560040474</v>
      </c>
      <c r="I49" s="4">
        <f>ABS((I$35-I12)/I$35)</f>
        <v>0.29097689688206252</v>
      </c>
      <c r="J49" s="4">
        <f>ABS((J$35-J12)/J$35)</f>
        <v>0.36600781977176755</v>
      </c>
      <c r="K49" s="4">
        <f>ABS((K$35-K12)/K$35)</f>
        <v>0.55486614257097255</v>
      </c>
      <c r="L49" s="4">
        <f>ABS((L$35-L12)/L$35)</f>
        <v>0.69896791502833366</v>
      </c>
      <c r="M49" s="4">
        <f>ABS((M$35-M12)/M$35)</f>
        <v>0.51763836542765185</v>
      </c>
      <c r="N49" s="4">
        <f>ABS((N$35-N12)/N$35)</f>
        <v>0</v>
      </c>
      <c r="O49" s="4">
        <f>ABS((O$35-O12)/O$35)</f>
        <v>2.05344829559326</v>
      </c>
      <c r="P49" s="4">
        <f>ABS((P$35-P12)/P$35)</f>
        <v>9.4013824462890607</v>
      </c>
      <c r="Q49" s="4">
        <f>ABS((Q$35-Q12)/Q$35)</f>
        <v>0.20896058082580601</v>
      </c>
      <c r="R49" s="4">
        <f>ABS((R$35-R12)/R$35)</f>
        <v>1.128291010856628</v>
      </c>
      <c r="S49" s="4">
        <f>ABS((S$35-S12)/S$35)</f>
        <v>1.378813743591305</v>
      </c>
      <c r="T49" s="4">
        <f>ABS((T$35-T12)/T$35)</f>
        <v>2.4556405544281001</v>
      </c>
      <c r="U49" s="4">
        <f>ABS((U$35-U12)/U$35)</f>
        <v>1.4262485504150351</v>
      </c>
      <c r="V49" s="4">
        <f>ABS((V$35-V12)/V$35)</f>
        <v>7.5632266998290998</v>
      </c>
      <c r="W49" s="4">
        <f>ABS((W$35-W12)/W$35)</f>
        <v>0.41202418009439984</v>
      </c>
      <c r="X49" s="4">
        <f>ABS((X$35-X12)/X$35)</f>
        <v>0</v>
      </c>
      <c r="Y49" s="4">
        <f>ABS((Y$35-Y12)/Y$35)</f>
        <v>0.5399781862894667</v>
      </c>
      <c r="Z49" s="4">
        <f>ABS((Z$35-Z12)/Z$35)</f>
        <v>0.51280137896537803</v>
      </c>
      <c r="AA49" s="4">
        <f>ABS((AA$35-AA12)/AA$35)</f>
        <v>0.20065908432006002</v>
      </c>
      <c r="AB49" s="4">
        <f>ABS((AB$35-AB12)/AB$35)</f>
        <v>1.1947231292724605</v>
      </c>
      <c r="AC49" s="4">
        <f>ABS((AC$35-AC12)/AC$35)</f>
        <v>2.6106219291686998</v>
      </c>
      <c r="AD49" s="4">
        <f>ABS((AD$35-AD12)/AD$35)</f>
        <v>3.74651670455932</v>
      </c>
      <c r="AE49" s="4">
        <f>ABS((AE$35-AE12)/AE$35)</f>
        <v>2.332589149475095</v>
      </c>
      <c r="AF49" s="4">
        <f>ABS((AF$35-AF12)/AF$35)</f>
        <v>1.2537405490875226</v>
      </c>
      <c r="AG49" s="15">
        <f t="shared" si="2"/>
        <v>1.7052078252037359</v>
      </c>
      <c r="AH49" s="15">
        <f t="shared" si="3"/>
        <v>1.6503771766744268</v>
      </c>
      <c r="AI49" s="6">
        <f>B12</f>
        <v>0.59033083915710405</v>
      </c>
    </row>
    <row r="50" spans="1:35" x14ac:dyDescent="0.35">
      <c r="A50" t="str">
        <f>A13</f>
        <v>Model_101</v>
      </c>
      <c r="B50" s="1" t="s">
        <v>153</v>
      </c>
      <c r="C50" s="4">
        <f>ABS((C$35-C13)/C$35)</f>
        <v>0.19508094787597799</v>
      </c>
      <c r="D50" s="4">
        <f>ABS((D$35-D13)/D$35)</f>
        <v>0</v>
      </c>
      <c r="E50" s="4">
        <f>ABS((E$35-E13)/E$35)</f>
        <v>0.51621547341346752</v>
      </c>
      <c r="F50" s="4">
        <f>ABS((F$35-F13)/F$35)</f>
        <v>0.82974192127585422</v>
      </c>
      <c r="G50" s="4">
        <f>ABS((G$35-G13)/G$35)</f>
        <v>0.51841786503791876</v>
      </c>
      <c r="H50" s="4">
        <f>ABS((H$35-H13)/H$35)</f>
        <v>1.4715162515640257</v>
      </c>
      <c r="I50" s="4">
        <f>ABS((I$35-I13)/I$35)</f>
        <v>1.1531547605991312</v>
      </c>
      <c r="J50" s="4">
        <f>ABS((J$35-J13)/J$35)</f>
        <v>1.3348151147365499</v>
      </c>
      <c r="K50" s="4">
        <f>ABS((K$35-K13)/K$35)</f>
        <v>0.37946426868438132</v>
      </c>
      <c r="L50" s="4">
        <f>ABS((L$35-L13)/L$35)</f>
        <v>0.19507704675197815</v>
      </c>
      <c r="M50" s="4">
        <f>ABS((M$35-M13)/M$35)</f>
        <v>1.7715617020924883</v>
      </c>
      <c r="N50" s="4">
        <f>ABS((N$35-N13)/N$35)</f>
        <v>0</v>
      </c>
      <c r="O50" s="4">
        <f>ABS((O$35-O13)/O$35)</f>
        <v>0.81319427490233986</v>
      </c>
      <c r="P50" s="4">
        <f>ABS((P$35-P13)/P$35)</f>
        <v>21.460811614990199</v>
      </c>
      <c r="Q50" s="4">
        <f>ABS((Q$35-Q13)/Q$35)</f>
        <v>0.80995413064956701</v>
      </c>
      <c r="R50" s="4">
        <f>ABS((R$35-R13)/R$35)</f>
        <v>1.1860736161470409</v>
      </c>
      <c r="S50" s="4">
        <f>ABS((S$35-S13)/S$35)</f>
        <v>0.15030443668365501</v>
      </c>
      <c r="T50" s="4">
        <f>ABS((T$35-T13)/T$35)</f>
        <v>1.89028763771057</v>
      </c>
      <c r="U50" s="4">
        <f>ABS((U$35-U13)/U$35)</f>
        <v>0.70765066146850497</v>
      </c>
      <c r="V50" s="4">
        <f>ABS((V$35-V13)/V$35)</f>
        <v>4.9856841564178396</v>
      </c>
      <c r="W50" s="4">
        <f>ABS((W$35-W13)/W$35)</f>
        <v>0.56164344151814827</v>
      </c>
      <c r="X50" s="4">
        <f>ABS((X$35-X13)/X$35)</f>
        <v>0</v>
      </c>
      <c r="Y50" s="4">
        <f>ABS((Y$35-Y13)/Y$35)</f>
        <v>9.6158981323267358E-3</v>
      </c>
      <c r="Z50" s="4">
        <f>ABS((Z$35-Z13)/Z$35)</f>
        <v>0.11100530624389804</v>
      </c>
      <c r="AA50" s="4">
        <f>ABS((AA$35-AA13)/AA$35)</f>
        <v>0.34457945823669495</v>
      </c>
      <c r="AB50" s="4">
        <f>ABS((AB$35-AB13)/AB$35)</f>
        <v>1.641721129417415</v>
      </c>
      <c r="AC50" s="4">
        <f>ABS((AC$35-AC13)/AC$35)</f>
        <v>1.93038702011108</v>
      </c>
      <c r="AD50" s="4">
        <f>ABS((AD$35-AD13)/AD$35)</f>
        <v>6.12843418121337</v>
      </c>
      <c r="AE50" s="4">
        <f>ABS((AE$35-AE13)/AE$35)</f>
        <v>3.21164846420288</v>
      </c>
      <c r="AF50" s="4">
        <f>ABS((AF$35-AF13)/AF$35)</f>
        <v>1.4575140476226802</v>
      </c>
      <c r="AG50" s="15">
        <f t="shared" si="2"/>
        <v>2.9187633978271887</v>
      </c>
      <c r="AH50" s="15">
        <f t="shared" si="3"/>
        <v>2.0653909195444435</v>
      </c>
      <c r="AI50" s="6">
        <f>B13</f>
        <v>0.59108322858810403</v>
      </c>
    </row>
    <row r="51" spans="1:35" x14ac:dyDescent="0.35">
      <c r="A51" t="str">
        <f>A14</f>
        <v>Model_112</v>
      </c>
      <c r="B51" s="1" t="s">
        <v>153</v>
      </c>
      <c r="C51" s="4">
        <f>ABS((C$35-C14)/C$35)</f>
        <v>1.217252254486084</v>
      </c>
      <c r="D51" s="4">
        <f>ABS((D$35-D14)/D$35)</f>
        <v>0</v>
      </c>
      <c r="E51" s="4">
        <f>ABS((E$35-E14)/E$35)</f>
        <v>0.33553852637608333</v>
      </c>
      <c r="F51" s="4">
        <f>ABS((F$35-F14)/F$35)</f>
        <v>7.6632472276687498</v>
      </c>
      <c r="G51" s="4">
        <f>ABS((G$35-G14)/G$35)</f>
        <v>0.68844115734100375</v>
      </c>
      <c r="H51" s="4">
        <f>ABS((H$35-H14)/H$35)</f>
        <v>1.4531542211771005</v>
      </c>
      <c r="I51" s="4">
        <f>ABS((I$35-I14)/I$35)</f>
        <v>0.55704438686370616</v>
      </c>
      <c r="J51" s="4">
        <f>ABS((J$35-J14)/J$35)</f>
        <v>0.25755310058593744</v>
      </c>
      <c r="K51" s="4">
        <f>ABS((K$35-K14)/K$35)</f>
        <v>0.20364871621132499</v>
      </c>
      <c r="L51" s="4">
        <f>ABS((L$35-L14)/L$35)</f>
        <v>0.50388181954622502</v>
      </c>
      <c r="M51" s="4">
        <f>ABS((M$35-M14)/M$35)</f>
        <v>4.404298464457327E-2</v>
      </c>
      <c r="N51" s="4">
        <f>ABS((N$35-N14)/N$35)</f>
        <v>0</v>
      </c>
      <c r="O51" s="4">
        <f>ABS((O$35-O14)/O$35)</f>
        <v>0.49878487586975206</v>
      </c>
      <c r="P51" s="4">
        <f>ABS((P$35-P14)/P$35)</f>
        <v>0.29560023546219005</v>
      </c>
      <c r="Q51" s="4">
        <f>ABS((Q$35-Q14)/Q$35)</f>
        <v>0.457631397247315</v>
      </c>
      <c r="R51" s="4">
        <f>ABS((R$35-R14)/R$35)</f>
        <v>1.78886097669601</v>
      </c>
      <c r="S51" s="4">
        <f>ABS((S$35-S14)/S$35)</f>
        <v>1.7105376720428449</v>
      </c>
      <c r="T51" s="4">
        <f>ABS((T$35-T14)/T$35)</f>
        <v>3.24688291549682</v>
      </c>
      <c r="U51" s="4">
        <f>ABS((U$35-U14)/U$35)</f>
        <v>1.6893584728240949</v>
      </c>
      <c r="V51" s="4">
        <f>ABS((V$35-V14)/V$35)</f>
        <v>7.7017626762390101</v>
      </c>
      <c r="W51" s="4">
        <f>ABS((W$35-W14)/W$35)</f>
        <v>0.67946378389994333</v>
      </c>
      <c r="X51" s="4">
        <f>ABS((X$35-X14)/X$35)</f>
        <v>0</v>
      </c>
      <c r="Y51" s="4">
        <f>ABS((Y$35-Y14)/Y$35)</f>
        <v>1.7150605519612601</v>
      </c>
      <c r="Z51" s="4">
        <f>ABS((Z$35-Z14)/Z$35)</f>
        <v>8.1663026809692205</v>
      </c>
      <c r="AA51" s="4">
        <f>ABS((AA$35-AA14)/AA$35)</f>
        <v>0.32411198616027903</v>
      </c>
      <c r="AB51" s="4">
        <f>ABS((AB$35-AB14)/AB$35)</f>
        <v>1.9830614328384351</v>
      </c>
      <c r="AC51" s="4">
        <f>ABS((AC$35-AC14)/AC$35)</f>
        <v>2.3778135776519749</v>
      </c>
      <c r="AD51" s="4">
        <f>ABS((AD$35-AD14)/AD$35)</f>
        <v>0.52763617038726007</v>
      </c>
      <c r="AE51" s="4">
        <f>ABS((AE$35-AE14)/AE$35)</f>
        <v>3.2617330551150014E-2</v>
      </c>
      <c r="AF51" s="4">
        <f>ABS((AF$35-AF14)/AF$35)</f>
        <v>0.39733117818832497</v>
      </c>
      <c r="AG51" s="15">
        <f t="shared" si="2"/>
        <v>2.290588124593095</v>
      </c>
      <c r="AH51" s="15">
        <f t="shared" si="3"/>
        <v>1.7228378633106172</v>
      </c>
      <c r="AI51" s="6">
        <f>B14</f>
        <v>0.58908140659332198</v>
      </c>
    </row>
    <row r="52" spans="1:35" x14ac:dyDescent="0.35">
      <c r="A52" t="str">
        <f>A15</f>
        <v>Model_113</v>
      </c>
      <c r="B52" s="1" t="s">
        <v>153</v>
      </c>
      <c r="C52" s="4">
        <f>ABS((C$35-C15)/C$35)</f>
        <v>7.5162506103515977E-2</v>
      </c>
      <c r="D52" s="4">
        <f>ABS((D$35-D15)/D$35)</f>
        <v>0</v>
      </c>
      <c r="E52" s="4">
        <f>ABS((E$35-E15)/E$35)</f>
        <v>2.7750492095950006E-2</v>
      </c>
      <c r="F52" s="4">
        <f>ABS((F$35-F15)/F$35)</f>
        <v>3.1390696763992504E-2</v>
      </c>
      <c r="G52" s="4">
        <f>ABS((G$35-G15)/G$35)</f>
        <v>0.24541717767715499</v>
      </c>
      <c r="H52" s="4">
        <f>ABS((H$35-H15)/H$35)</f>
        <v>1.4702636227011674</v>
      </c>
      <c r="I52" s="4">
        <f>ABS((I$35-I15)/I$35)</f>
        <v>1.8025797009468061</v>
      </c>
      <c r="J52" s="4">
        <f>ABS((J$35-J15)/J$35)</f>
        <v>3.5622882246971121</v>
      </c>
      <c r="K52" s="4">
        <f>ABS((K$35-K15)/K$35)</f>
        <v>1.9732173681259126</v>
      </c>
      <c r="L52" s="4">
        <f>ABS((L$35-L15)/L$35)</f>
        <v>0.86158344149589361</v>
      </c>
      <c r="M52" s="4">
        <f>ABS((M$35-M15)/M$35)</f>
        <v>9.2090368270875064E-2</v>
      </c>
      <c r="N52" s="4">
        <f>ABS((N$35-N15)/N$35)</f>
        <v>0</v>
      </c>
      <c r="O52" s="4">
        <f>ABS((O$35-O15)/O$35)</f>
        <v>9.2542743682863998E-2</v>
      </c>
      <c r="P52" s="4">
        <f>ABS((P$35-P15)/P$35)</f>
        <v>1.20585441589354</v>
      </c>
      <c r="Q52" s="4">
        <f>ABS((Q$35-Q15)/Q$35)</f>
        <v>0.19919757843017596</v>
      </c>
      <c r="R52" s="4">
        <f>ABS((R$35-R15)/R$35)</f>
        <v>1.4990681111812589</v>
      </c>
      <c r="S52" s="4">
        <f>ABS((S$35-S15)/S$35)</f>
        <v>1.97424268722534</v>
      </c>
      <c r="T52" s="4">
        <f>ABS((T$35-T15)/T$35)</f>
        <v>1.7042498588561998</v>
      </c>
      <c r="U52" s="4">
        <f>ABS((U$35-U15)/U$35)</f>
        <v>0.76234447956085005</v>
      </c>
      <c r="V52" s="4">
        <f>ABS((V$35-V15)/V$35)</f>
        <v>5.4137392044067303</v>
      </c>
      <c r="W52" s="4">
        <f>ABS((W$35-W15)/W$35)</f>
        <v>1.0459812929232915</v>
      </c>
      <c r="X52" s="4">
        <f>ABS((X$35-X15)/X$35)</f>
        <v>0</v>
      </c>
      <c r="Y52" s="4">
        <f>ABS((Y$35-Y15)/Y$35)</f>
        <v>0.90209191044171666</v>
      </c>
      <c r="Z52" s="4">
        <f>ABS((Z$35-Z15)/Z$35)</f>
        <v>0.18202692270278997</v>
      </c>
      <c r="AA52" s="4">
        <f>ABS((AA$35-AA15)/AA$35)</f>
        <v>0.95206070840358736</v>
      </c>
      <c r="AB52" s="4">
        <f>ABS((AB$35-AB15)/AB$35)</f>
        <v>1.0298762489110231</v>
      </c>
      <c r="AC52" s="4">
        <f>ABS((AC$35-AC15)/AC$35)</f>
        <v>0.82194972038269054</v>
      </c>
      <c r="AD52" s="4">
        <f>ABS((AD$35-AD15)/AD$35)</f>
        <v>0.50687116384506292</v>
      </c>
      <c r="AE52" s="4">
        <f>ABS((AE$35-AE15)/AE$35)</f>
        <v>0.67863067984580994</v>
      </c>
      <c r="AF52" s="4">
        <f>ABS((AF$35-AF15)/AF$35)</f>
        <v>0.7987850308418275</v>
      </c>
      <c r="AG52" s="15">
        <f t="shared" si="2"/>
        <v>0.40609903876428166</v>
      </c>
      <c r="AH52" s="15">
        <f t="shared" si="3"/>
        <v>1.1078243094967828</v>
      </c>
      <c r="AI52" s="6">
        <f>B15</f>
        <v>0.58965426683425903</v>
      </c>
    </row>
    <row r="53" spans="1:35" x14ac:dyDescent="0.35">
      <c r="A53" t="str">
        <f>A16</f>
        <v>Model_123</v>
      </c>
      <c r="B53" s="1" t="s">
        <v>153</v>
      </c>
      <c r="C53" s="4">
        <f>ABS((C$35-C16)/C$35)</f>
        <v>1.0718134760856628</v>
      </c>
      <c r="D53" s="4">
        <f>ABS((D$35-D16)/D$35)</f>
        <v>0</v>
      </c>
      <c r="E53" s="4">
        <f>ABS((E$35-E16)/E$35)</f>
        <v>0.63652767241001162</v>
      </c>
      <c r="F53" s="4">
        <f>ABS((F$35-F16)/F$35)</f>
        <v>2.1608039736747409E-2</v>
      </c>
      <c r="G53" s="4">
        <f>ABS((G$35-G16)/G$35)</f>
        <v>0.77430476248264379</v>
      </c>
      <c r="H53" s="4">
        <f>ABS((H$35-H16)/H$35)</f>
        <v>1.0650785584002731</v>
      </c>
      <c r="I53" s="4">
        <f>ABS((I$35-I16)/I$35)</f>
        <v>0.26410496234894387</v>
      </c>
      <c r="J53" s="4">
        <f>ABS((J$35-J16)/J$35)</f>
        <v>0.89927101880311977</v>
      </c>
      <c r="K53" s="4">
        <f>ABS((K$35-K16)/K$35)</f>
        <v>0.93902598507702351</v>
      </c>
      <c r="L53" s="4">
        <f>ABS((L$35-L16)/L$35)</f>
        <v>0.96356979478150617</v>
      </c>
      <c r="M53" s="4">
        <f>ABS((M$35-M16)/M$35)</f>
        <v>0.31534608205159503</v>
      </c>
      <c r="N53" s="4">
        <f>ABS((N$35-N16)/N$35)</f>
        <v>0</v>
      </c>
      <c r="O53" s="4">
        <f>ABS((O$35-O16)/O$35)</f>
        <v>9.0190029144283909E-2</v>
      </c>
      <c r="P53" s="4">
        <f>ABS((P$35-P16)/P$35)</f>
        <v>0.65744745731353604</v>
      </c>
      <c r="Q53" s="4">
        <f>ABS((Q$35-Q16)/Q$35)</f>
        <v>9.3897438049316939E-2</v>
      </c>
      <c r="R53" s="4">
        <f>ABS((R$35-R16)/R$35)</f>
        <v>1.2612719833850861</v>
      </c>
      <c r="S53" s="4">
        <f>ABS((S$35-S16)/S$35)</f>
        <v>1.9544105529785152</v>
      </c>
      <c r="T53" s="4">
        <f>ABS((T$35-T16)/T$35)</f>
        <v>6.1079168319702104</v>
      </c>
      <c r="U53" s="4">
        <f>ABS((U$35-U16)/U$35)</f>
        <v>3.3026165962219203</v>
      </c>
      <c r="V53" s="4">
        <f>ABS((V$35-V16)/V$35)</f>
        <v>11.2827548980712</v>
      </c>
      <c r="W53" s="4">
        <f>ABS((W$35-W16)/W$35)</f>
        <v>0.61583205064137836</v>
      </c>
      <c r="X53" s="4">
        <f>ABS((X$35-X16)/X$35)</f>
        <v>0</v>
      </c>
      <c r="Y53" s="4">
        <f>ABS((Y$35-Y16)/Y$35)</f>
        <v>0.89820414781570468</v>
      </c>
      <c r="Z53" s="4">
        <f>ABS((Z$35-Z16)/Z$35)</f>
        <v>0.87176129221916199</v>
      </c>
      <c r="AA53" s="4">
        <f>ABS((AA$35-AA16)/AA$35)</f>
        <v>0.52739043235778893</v>
      </c>
      <c r="AB53" s="4">
        <f>ABS((AB$35-AB16)/AB$35)</f>
        <v>1.1362755596637726</v>
      </c>
      <c r="AC53" s="4">
        <f>ABS((AC$35-AC16)/AC$35)</f>
        <v>0.54097604751586492</v>
      </c>
      <c r="AD53" s="4">
        <f>ABS((AD$35-AD16)/AD$35)</f>
        <v>2.6414084434509202</v>
      </c>
      <c r="AE53" s="4">
        <f>ABS((AE$35-AE16)/AE$35)</f>
        <v>1.2042441368103001</v>
      </c>
      <c r="AF53" s="4">
        <f>ABS((AF$35-AF16)/AF$35)</f>
        <v>0.31697213649749756</v>
      </c>
      <c r="AG53" s="15">
        <f t="shared" si="2"/>
        <v>0.57541447193534234</v>
      </c>
      <c r="AH53" s="15">
        <f t="shared" si="3"/>
        <v>1.4983044587512586</v>
      </c>
      <c r="AI53" s="6">
        <f>B16</f>
        <v>0.58996701240539495</v>
      </c>
    </row>
    <row r="54" spans="1:35" x14ac:dyDescent="0.35">
      <c r="A54" t="str">
        <f>A17</f>
        <v>Model_137</v>
      </c>
      <c r="B54" s="1" t="s">
        <v>153</v>
      </c>
      <c r="C54" s="4">
        <f>ABS((C$35-C17)/C$35)</f>
        <v>0.41641497611999601</v>
      </c>
      <c r="D54" s="4">
        <f>ABS((D$35-D17)/D$35)</f>
        <v>0</v>
      </c>
      <c r="E54" s="4">
        <f>ABS((E$35-E17)/E$35)</f>
        <v>1.4090669552485082</v>
      </c>
      <c r="F54" s="4">
        <f>ABS((F$35-F17)/F$35)</f>
        <v>1.3642784357070898</v>
      </c>
      <c r="G54" s="4">
        <f>ABS((G$35-G17)/G$35)</f>
        <v>0.77142436802387249</v>
      </c>
      <c r="H54" s="4">
        <f>ABS((H$35-H17)/H$35)</f>
        <v>1.2465309947729106</v>
      </c>
      <c r="I54" s="4">
        <f>ABS((I$35-I17)/I$35)</f>
        <v>8.2291066646561495E-3</v>
      </c>
      <c r="J54" s="4">
        <f>ABS((J$35-J17)/J$35)</f>
        <v>0.27977013587951238</v>
      </c>
      <c r="K54" s="4">
        <f>ABS((K$35-K17)/K$35)</f>
        <v>0.1714397817850126</v>
      </c>
      <c r="L54" s="4">
        <f>ABS((L$35-L17)/L$35)</f>
        <v>0.476963952183725</v>
      </c>
      <c r="M54" s="4">
        <f>ABS((M$35-M17)/M$35)</f>
        <v>2.7669270833333335E-3</v>
      </c>
      <c r="N54" s="4">
        <f>ABS((N$35-N17)/N$35)</f>
        <v>0</v>
      </c>
      <c r="O54" s="4">
        <f>ABS((O$35-O17)/O$35)</f>
        <v>0.50712161064147998</v>
      </c>
      <c r="P54" s="4">
        <f>ABS((P$35-P17)/P$35)</f>
        <v>0.18711966276169001</v>
      </c>
      <c r="Q54" s="4">
        <f>ABS((Q$35-Q17)/Q$35)</f>
        <v>0.43489675521850601</v>
      </c>
      <c r="R54" s="4">
        <f>ABS((R$35-R17)/R$35)</f>
        <v>1.6094939708709699</v>
      </c>
      <c r="S54" s="4">
        <f>ABS((S$35-S17)/S$35)</f>
        <v>1.4926257133483851</v>
      </c>
      <c r="T54" s="4">
        <f>ABS((T$35-T17)/T$35)</f>
        <v>2.56090807914733</v>
      </c>
      <c r="U54" s="4">
        <f>ABS((U$35-U17)/U$35)</f>
        <v>1.3054349422454798</v>
      </c>
      <c r="V54" s="4">
        <f>ABS((V$35-V17)/V$35)</f>
        <v>6.82130527496337</v>
      </c>
      <c r="W54" s="4">
        <f>ABS((W$35-W17)/W$35)</f>
        <v>2.0536537170410152</v>
      </c>
      <c r="X54" s="4">
        <f>ABS((X$35-X17)/X$35)</f>
        <v>0</v>
      </c>
      <c r="Y54" s="4">
        <f>ABS((Y$35-Y17)/Y$35)</f>
        <v>1.0305953025817869</v>
      </c>
      <c r="Z54" s="4">
        <f>ABS((Z$35-Z17)/Z$35)</f>
        <v>4.1144318580627397</v>
      </c>
      <c r="AA54" s="4">
        <f>ABS((AA$35-AA17)/AA$35)</f>
        <v>9.4658756256104051E-2</v>
      </c>
      <c r="AB54" s="4">
        <f>ABS((AB$35-AB17)/AB$35)</f>
        <v>1.9764587879180899</v>
      </c>
      <c r="AC54" s="4">
        <f>ABS((AC$35-AC17)/AC$35)</f>
        <v>2.9933886528015101</v>
      </c>
      <c r="AD54" s="4">
        <f>ABS((AD$35-AD17)/AD$35)</f>
        <v>3.8023800849914497</v>
      </c>
      <c r="AE54" s="4">
        <f>ABS((AE$35-AE17)/AE$35)</f>
        <v>2.1091997623443599</v>
      </c>
      <c r="AF54" s="4">
        <f>ABS((AF$35-AF17)/AF$35)</f>
        <v>0.9627100229263299</v>
      </c>
      <c r="AG54" s="15">
        <f t="shared" si="2"/>
        <v>1.2317166050275157</v>
      </c>
      <c r="AH54" s="15">
        <f t="shared" si="3"/>
        <v>1.4890099476884895</v>
      </c>
      <c r="AI54" s="6">
        <f>B17</f>
        <v>0.58954107761383001</v>
      </c>
    </row>
    <row r="55" spans="1:35" x14ac:dyDescent="0.35">
      <c r="A55" t="str">
        <f>A18</f>
        <v>Model_142</v>
      </c>
      <c r="B55" s="1" t="s">
        <v>153</v>
      </c>
      <c r="C55" s="4">
        <f>ABS((C$35-C18)/C$35)</f>
        <v>0.13898916244506995</v>
      </c>
      <c r="D55" s="4">
        <f>ABS((D$35-D18)/D$35)</f>
        <v>0</v>
      </c>
      <c r="E55" s="4">
        <f>ABS((E$35-E18)/E$35)</f>
        <v>7.852077484133229E-3</v>
      </c>
      <c r="F55" s="4">
        <f>ABS((F$35-F18)/F$35)</f>
        <v>0.14593409001826999</v>
      </c>
      <c r="G55" s="4">
        <f>ABS((G$35-G18)/G$35)</f>
        <v>0.45175611972808749</v>
      </c>
      <c r="H55" s="4">
        <f>ABS((H$35-H18)/H$35)</f>
        <v>2.0845612287521309</v>
      </c>
      <c r="I55" s="4">
        <f>ABS((I$35-I18)/I$35)</f>
        <v>1.5623479932546613</v>
      </c>
      <c r="J55" s="4">
        <f>ABS((J$35-J18)/J$35)</f>
        <v>2.5591296553611751</v>
      </c>
      <c r="K55" s="4">
        <f>ABS((K$35-K18)/K$35)</f>
        <v>1.11379680596292</v>
      </c>
      <c r="L55" s="4">
        <f>ABS((L$35-L18)/L$35)</f>
        <v>0.61018767207861258</v>
      </c>
      <c r="M55" s="4">
        <f>ABS((M$35-M18)/M$35)</f>
        <v>0.35217920939127484</v>
      </c>
      <c r="N55" s="4">
        <f>ABS((N$35-N18)/N$35)</f>
        <v>0</v>
      </c>
      <c r="O55" s="4">
        <f>ABS((O$35-O18)/O$35)</f>
        <v>0.25815725326537997</v>
      </c>
      <c r="P55" s="4">
        <f>ABS((P$35-P18)/P$35)</f>
        <v>3.5314693450927601</v>
      </c>
      <c r="Q55" s="4">
        <f>ABS((Q$35-Q18)/Q$35)</f>
        <v>0.5396634101867599</v>
      </c>
      <c r="R55" s="4">
        <f>ABS((R$35-R18)/R$35)</f>
        <v>2.2713387012481649</v>
      </c>
      <c r="S55" s="4">
        <f>ABS((S$35-S18)/S$35)</f>
        <v>1.59639948606491</v>
      </c>
      <c r="T55" s="4">
        <f>ABS((T$35-T18)/T$35)</f>
        <v>8.5937995910644496</v>
      </c>
      <c r="U55" s="4">
        <f>ABS((U$35-U18)/U$35)</f>
        <v>1.5542515516281101</v>
      </c>
      <c r="V55" s="4">
        <f>ABS((V$35-V18)/V$35)</f>
        <v>8.5943822860717702</v>
      </c>
      <c r="W55" s="4">
        <f>ABS((W$35-W18)/W$35)</f>
        <v>0.50503019491831502</v>
      </c>
      <c r="X55" s="4">
        <f>ABS((X$35-X18)/X$35)</f>
        <v>0</v>
      </c>
      <c r="Y55" s="4">
        <f>ABS((Y$35-Y18)/Y$35)</f>
        <v>0.69841321309407345</v>
      </c>
      <c r="Z55" s="4">
        <f>ABS((Z$35-Z18)/Z$35)</f>
        <v>5.8881044387816051E-2</v>
      </c>
      <c r="AA55" s="4">
        <f>ABS((AA$35-AA18)/AA$35)</f>
        <v>0.50578985214233008</v>
      </c>
      <c r="AB55" s="4">
        <f>ABS((AB$35-AB18)/AB$35)</f>
        <v>2.1993670463561998</v>
      </c>
      <c r="AC55" s="4">
        <f>ABS((AC$35-AC18)/AC$35)</f>
        <v>1.5832785367965649</v>
      </c>
      <c r="AD55" s="4">
        <f>ABS((AD$35-AD18)/AD$35)</f>
        <v>1.0758596062660217</v>
      </c>
      <c r="AE55" s="4">
        <f>ABS((AE$35-AE18)/AE$35)</f>
        <v>1.0055367941968143</v>
      </c>
      <c r="AF55" s="4">
        <f>ABS((AF$35-AF18)/AF$35)</f>
        <v>0.98103364184498787</v>
      </c>
      <c r="AG55" s="15">
        <f t="shared" si="2"/>
        <v>0.63298951001078807</v>
      </c>
      <c r="AH55" s="15">
        <f t="shared" si="3"/>
        <v>1.6510883544111763</v>
      </c>
      <c r="AI55" s="6">
        <f>B18</f>
        <v>0.58914643526077204</v>
      </c>
    </row>
    <row r="56" spans="1:35" x14ac:dyDescent="0.35">
      <c r="A56" t="str">
        <f>A19</f>
        <v>Model_147</v>
      </c>
      <c r="B56" s="1" t="s">
        <v>153</v>
      </c>
      <c r="C56" s="4">
        <f>ABS((C$35-C19)/C$35)</f>
        <v>0.63658676147461002</v>
      </c>
      <c r="D56" s="4">
        <f>ABS((D$35-D19)/D$35)</f>
        <v>0</v>
      </c>
      <c r="E56" s="4">
        <f>ABS((E$35-E19)/E$35)</f>
        <v>0.91374306380748749</v>
      </c>
      <c r="F56" s="4">
        <f>ABS((F$35-F19)/F$35)</f>
        <v>4.8515662550924904E-2</v>
      </c>
      <c r="G56" s="4">
        <f>ABS((G$35-G19)/G$35)</f>
        <v>0.58875668048858754</v>
      </c>
      <c r="H56" s="4">
        <f>ABS((H$35-H19)/H$35)</f>
        <v>1.5563267692923544</v>
      </c>
      <c r="I56" s="4">
        <f>ABS((I$35-I19)/I$35)</f>
        <v>1.0562165975570625</v>
      </c>
      <c r="J56" s="4">
        <f>ABS((J$35-J19)/J$35)</f>
        <v>3.7968378663062996</v>
      </c>
      <c r="K56" s="4">
        <f>ABS((K$35-K19)/K$35)</f>
        <v>1.8384158015251124</v>
      </c>
      <c r="L56" s="4">
        <f>ABS((L$35-L19)/L$35)</f>
        <v>0.64192005991935608</v>
      </c>
      <c r="M56" s="4">
        <f>ABS((M$35-M19)/M$35)</f>
        <v>0.24642348289489835</v>
      </c>
      <c r="N56" s="4">
        <f>ABS((N$35-N19)/N$35)</f>
        <v>0</v>
      </c>
      <c r="O56" s="4">
        <f>ABS((O$35-O19)/O$35)</f>
        <v>0.31931753158569193</v>
      </c>
      <c r="P56" s="4">
        <f>ABS((P$35-P19)/P$35)</f>
        <v>0.32745301723480402</v>
      </c>
      <c r="Q56" s="4">
        <f>ABS((Q$35-Q19)/Q$35)</f>
        <v>2.6321315765381038E-2</v>
      </c>
      <c r="R56" s="4">
        <f>ABS((R$35-R19)/R$35)</f>
        <v>2.3171850442886353</v>
      </c>
      <c r="S56" s="4">
        <f>ABS((S$35-S19)/S$35)</f>
        <v>3.8683934211730948</v>
      </c>
      <c r="T56" s="4">
        <f>ABS((T$35-T19)/T$35)</f>
        <v>9.1746816635131001</v>
      </c>
      <c r="U56" s="4">
        <f>ABS((U$35-U19)/U$35)</f>
        <v>5.0206274986267001</v>
      </c>
      <c r="V56" s="4">
        <f>ABS((V$35-V19)/V$35)</f>
        <v>14.930853843688899</v>
      </c>
      <c r="W56" s="4">
        <f>ABS((W$35-W19)/W$35)</f>
        <v>1.0848104953765869</v>
      </c>
      <c r="X56" s="4">
        <f>ABS((X$35-X19)/X$35)</f>
        <v>0</v>
      </c>
      <c r="Y56" s="4">
        <f>ABS((Y$35-Y19)/Y$35)</f>
        <v>0.72589963674545332</v>
      </c>
      <c r="Z56" s="4">
        <f>ABS((Z$35-Z19)/Z$35)</f>
        <v>0.16297280788421609</v>
      </c>
      <c r="AA56" s="4">
        <f>ABS((AA$35-AA19)/AA$35)</f>
        <v>0.94009755849838261</v>
      </c>
      <c r="AB56" s="4">
        <f>ABS((AB$35-AB19)/AB$35)</f>
        <v>1.0810355544090271</v>
      </c>
      <c r="AC56" s="4">
        <f>ABS((AC$35-AC19)/AC$35)</f>
        <v>0.70048782229423545</v>
      </c>
      <c r="AD56" s="4">
        <f>ABS((AD$35-AD19)/AD$35)</f>
        <v>1.3369936943054199</v>
      </c>
      <c r="AE56" s="4">
        <f>ABS((AE$35-AE19)/AE$35)</f>
        <v>0.38286077976226496</v>
      </c>
      <c r="AF56" s="4">
        <f>ABS((AF$35-AF19)/AF$35)</f>
        <v>0.20006531476974498</v>
      </c>
      <c r="AG56" s="15">
        <f t="shared" si="2"/>
        <v>0.49619138439496369</v>
      </c>
      <c r="AH56" s="15">
        <f t="shared" si="3"/>
        <v>1.9971777683606791</v>
      </c>
      <c r="AI56" s="6">
        <f>B19</f>
        <v>0.58738112449645996</v>
      </c>
    </row>
    <row r="57" spans="1:35" x14ac:dyDescent="0.35">
      <c r="A57" t="str">
        <f>A20</f>
        <v>Model_155</v>
      </c>
      <c r="B57" s="1" t="s">
        <v>153</v>
      </c>
      <c r="C57" s="4">
        <f>ABS((C$35-C20)/C$35)</f>
        <v>4.1699504852294032E-2</v>
      </c>
      <c r="D57" s="4">
        <f>ABS((D$35-D20)/D$35)</f>
        <v>0</v>
      </c>
      <c r="E57" s="4">
        <f>ABS((E$35-E20)/E$35)</f>
        <v>2.4501423041025094E-2</v>
      </c>
      <c r="F57" s="4">
        <f>ABS((F$35-F20)/F$35)</f>
        <v>3.0146673321725104E-2</v>
      </c>
      <c r="G57" s="4">
        <f>ABS((G$35-G20)/G$35)</f>
        <v>0.25347113609313743</v>
      </c>
      <c r="H57" s="4">
        <f>ABS((H$35-H20)/H$35)</f>
        <v>1.0518425107002249</v>
      </c>
      <c r="I57" s="4">
        <f>ABS((I$35-I20)/I$35)</f>
        <v>0.62011471390724193</v>
      </c>
      <c r="J57" s="4">
        <f>ABS((J$35-J20)/J$35)</f>
        <v>1.2447380684316149</v>
      </c>
      <c r="K57" s="4">
        <f>ABS((K$35-K20)/K$35)</f>
        <v>0.44682799279689811</v>
      </c>
      <c r="L57" s="4">
        <f>ABS((L$35-L20)/L$35)</f>
        <v>0.2992159724235563</v>
      </c>
      <c r="M57" s="4">
        <f>ABS((M$35-M20)/M$35)</f>
        <v>0.73403481642405344</v>
      </c>
      <c r="N57" s="4">
        <f>ABS((N$35-N20)/N$35)</f>
        <v>0</v>
      </c>
      <c r="O57" s="4">
        <f>ABS((O$35-O20)/O$35)</f>
        <v>0.10991010665893608</v>
      </c>
      <c r="P57" s="4">
        <f>ABS((P$35-P20)/P$35)</f>
        <v>0.75204563140869007</v>
      </c>
      <c r="Q57" s="4">
        <f>ABS((Q$35-Q20)/Q$35)</f>
        <v>0.34460659027099005</v>
      </c>
      <c r="R57" s="4">
        <f>ABS((R$35-R20)/R$35)</f>
        <v>1.2010247707366899</v>
      </c>
      <c r="S57" s="4">
        <f>ABS((S$35-S20)/S$35)</f>
        <v>0.5924944877624515</v>
      </c>
      <c r="T57" s="4">
        <f>ABS((T$35-T20)/T$35)</f>
        <v>1.160937502980232</v>
      </c>
      <c r="U57" s="4">
        <f>ABS((U$35-U20)/U$35)</f>
        <v>0.63623917102813743</v>
      </c>
      <c r="V57" s="4">
        <f>ABS((V$35-V20)/V$35)</f>
        <v>2.8433167934417698</v>
      </c>
      <c r="W57" s="4">
        <f>ABS((W$35-W20)/W$35)</f>
        <v>0.83360387881596887</v>
      </c>
      <c r="X57" s="4">
        <f>ABS((X$35-X20)/X$35)</f>
        <v>0</v>
      </c>
      <c r="Y57" s="4">
        <f>ABS((Y$35-Y20)/Y$35)</f>
        <v>0.75326426823933934</v>
      </c>
      <c r="Z57" s="4">
        <f>ABS((Z$35-Z20)/Z$35)</f>
        <v>0.6974290609359739</v>
      </c>
      <c r="AA57" s="4">
        <f>ABS((AA$35-AA20)/AA$35)</f>
        <v>0.75342159271240305</v>
      </c>
      <c r="AB57" s="4">
        <f>ABS((AB$35-AB20)/AB$35)</f>
        <v>0.59636875987052951</v>
      </c>
      <c r="AC57" s="4">
        <f>ABS((AC$35-AC20)/AC$35)</f>
        <v>0.92527025938034102</v>
      </c>
      <c r="AD57" s="4">
        <f>ABS((AD$35-AD20)/AD$35)</f>
        <v>1.0744280219078064</v>
      </c>
      <c r="AE57" s="4">
        <f>ABS((AE$35-AE20)/AE$35)</f>
        <v>0.83177329599857353</v>
      </c>
      <c r="AF57" s="4">
        <f>ABS((AF$35-AF20)/AF$35)</f>
        <v>0.78688253462314628</v>
      </c>
      <c r="AG57" s="15">
        <f t="shared" si="2"/>
        <v>0.44184837374422287</v>
      </c>
      <c r="AH57" s="15">
        <f t="shared" si="3"/>
        <v>0.72739294588013881</v>
      </c>
      <c r="AI57" s="6">
        <f>B20</f>
        <v>0.58951246738433805</v>
      </c>
    </row>
    <row r="58" spans="1:35" x14ac:dyDescent="0.35">
      <c r="A58" t="str">
        <f>A21</f>
        <v>Model_167</v>
      </c>
      <c r="B58" s="1" t="s">
        <v>153</v>
      </c>
      <c r="C58" s="4">
        <f>ABS((C$35-C21)/C$35)</f>
        <v>0.19654731750488405</v>
      </c>
      <c r="D58" s="4">
        <f>ABS((D$35-D21)/D$35)</f>
        <v>0</v>
      </c>
      <c r="E58" s="4">
        <f>ABS((E$35-E21)/E$35)</f>
        <v>0.66505902508894665</v>
      </c>
      <c r="F58" s="4">
        <f>ABS((F$35-F21)/F$35)</f>
        <v>2.7451425790787493E-2</v>
      </c>
      <c r="G58" s="4">
        <f>ABS((G$35-G21)/G$35)</f>
        <v>0.68231832981109619</v>
      </c>
      <c r="H58" s="4">
        <f>ABS((H$35-H21)/H$35)</f>
        <v>1.4404902830719946</v>
      </c>
      <c r="I58" s="4">
        <f>ABS((I$35-I21)/I$35)</f>
        <v>0.58245041966438116</v>
      </c>
      <c r="J58" s="4">
        <f>ABS((J$35-J21)/J$35)</f>
        <v>1.938364446163175</v>
      </c>
      <c r="K58" s="4">
        <f>ABS((K$35-K21)/K$35)</f>
        <v>0.93205192685126859</v>
      </c>
      <c r="L58" s="4">
        <f>ABS((L$35-L21)/L$35)</f>
        <v>0.22752539813518435</v>
      </c>
      <c r="M58" s="4">
        <f>ABS((M$35-M21)/M$35)</f>
        <v>0.17763868967692162</v>
      </c>
      <c r="N58" s="4">
        <f>ABS((N$35-N21)/N$35)</f>
        <v>0</v>
      </c>
      <c r="O58" s="4">
        <f>ABS((O$35-O21)/O$35)</f>
        <v>0.5458299636840801</v>
      </c>
      <c r="P58" s="4">
        <f>ABS((P$35-P21)/P$35)</f>
        <v>1.0035350322723202</v>
      </c>
      <c r="Q58" s="4">
        <f>ABS((Q$35-Q21)/Q$35)</f>
        <v>0.32603111267089896</v>
      </c>
      <c r="R58" s="4">
        <f>ABS((R$35-R21)/R$35)</f>
        <v>1.9345101118087751</v>
      </c>
      <c r="S58" s="4">
        <f>ABS((S$35-S21)/S$35)</f>
        <v>2.3572044372558549</v>
      </c>
      <c r="T58" s="4">
        <f>ABS((T$35-T21)/T$35)</f>
        <v>0.64278522133827298</v>
      </c>
      <c r="U58" s="4">
        <f>ABS((U$35-U21)/U$35)</f>
        <v>0.76512187719345104</v>
      </c>
      <c r="V58" s="4">
        <f>ABS((V$35-V21)/V$35)</f>
        <v>1.596917390823364</v>
      </c>
      <c r="W58" s="4">
        <f>ABS((W$35-W21)/W$35)</f>
        <v>3.2275835673013287E-2</v>
      </c>
      <c r="X58" s="4">
        <f>ABS((X$35-X21)/X$35)</f>
        <v>0</v>
      </c>
      <c r="Y58" s="4">
        <f>ABS((Y$35-Y21)/Y$35)</f>
        <v>8.8943640391065948E-3</v>
      </c>
      <c r="Z58" s="4">
        <f>ABS((Z$35-Z21)/Z$35)</f>
        <v>0.15973174571991</v>
      </c>
      <c r="AA58" s="4">
        <f>ABS((AA$35-AA21)/AA$35)</f>
        <v>0.37493009567260804</v>
      </c>
      <c r="AB58" s="4">
        <f>ABS((AB$35-AB21)/AB$35)</f>
        <v>1.866708040237425</v>
      </c>
      <c r="AC58" s="4">
        <f>ABS((AC$35-AC21)/AC$35)</f>
        <v>2.113626956939695</v>
      </c>
      <c r="AD58" s="4">
        <f>ABS((AD$35-AD21)/AD$35)</f>
        <v>2.89746665954589</v>
      </c>
      <c r="AE58" s="4">
        <f>ABS((AE$35-AE21)/AE$35)</f>
        <v>1.5626866817474352</v>
      </c>
      <c r="AF58" s="4">
        <f>ABS((AF$35-AF21)/AF$35)</f>
        <v>0.62819814682006747</v>
      </c>
      <c r="AG58" s="15">
        <f t="shared" si="2"/>
        <v>0.31299593327221892</v>
      </c>
      <c r="AH58" s="15">
        <f t="shared" si="3"/>
        <v>0.95134633093336329</v>
      </c>
      <c r="AI58" s="6">
        <f>B21</f>
        <v>0.59604775905609098</v>
      </c>
    </row>
    <row r="59" spans="1:35" x14ac:dyDescent="0.35">
      <c r="A59" t="str">
        <f>A22</f>
        <v>Model_168</v>
      </c>
      <c r="B59" s="1" t="s">
        <v>153</v>
      </c>
      <c r="C59" s="4">
        <f>ABS((C$35-C22)/C$35)</f>
        <v>0.18405857086181604</v>
      </c>
      <c r="D59" s="4">
        <f>ABS((D$35-D22)/D$35)</f>
        <v>0</v>
      </c>
      <c r="E59" s="4">
        <f>ABS((E$35-E22)/E$35)</f>
        <v>3.3173561096250248E-3</v>
      </c>
      <c r="F59" s="4">
        <f>ABS((F$35-F22)/F$35)</f>
        <v>0.24423247575760004</v>
      </c>
      <c r="G59" s="4">
        <f>ABS((G$35-G22)/G$35)</f>
        <v>0.1133440732955926</v>
      </c>
      <c r="H59" s="4">
        <f>ABS((H$35-H22)/H$35)</f>
        <v>0.34114488959311878</v>
      </c>
      <c r="I59" s="4">
        <f>ABS((I$35-I22)/I$35)</f>
        <v>7.9833582043643686E-2</v>
      </c>
      <c r="J59" s="4">
        <f>ABS((J$35-J22)/J$35)</f>
        <v>1.2743208408355713</v>
      </c>
      <c r="K59" s="4">
        <f>ABS((K$35-K22)/K$35)</f>
        <v>0.45348016917705569</v>
      </c>
      <c r="L59" s="4">
        <f>ABS((L$35-L22)/L$35)</f>
        <v>0.32170569896698126</v>
      </c>
      <c r="M59" s="4">
        <f>ABS((M$35-M22)/M$35)</f>
        <v>0.14011383056640669</v>
      </c>
      <c r="N59" s="4">
        <f>ABS((N$35-N22)/N$35)</f>
        <v>0</v>
      </c>
      <c r="O59" s="4">
        <f>ABS((O$35-O22)/O$35)</f>
        <v>7.988948822021609E-2</v>
      </c>
      <c r="P59" s="4">
        <f>ABS((P$35-P22)/P$35)</f>
        <v>1.5656502246856601</v>
      </c>
      <c r="Q59" s="4">
        <f>ABS((Q$35-Q22)/Q$35)</f>
        <v>0.13169765472412004</v>
      </c>
      <c r="R59" s="4">
        <f>ABS((R$35-R22)/R$35)</f>
        <v>0.36325371265410999</v>
      </c>
      <c r="S59" s="4">
        <f>ABS((S$35-S22)/S$35)</f>
        <v>9.7634673118589976E-2</v>
      </c>
      <c r="T59" s="4">
        <f>ABS((T$35-T22)/T$35)</f>
        <v>1.2440975606441489</v>
      </c>
      <c r="U59" s="4">
        <f>ABS((U$35-U22)/U$35)</f>
        <v>0.51369297504425049</v>
      </c>
      <c r="V59" s="4">
        <f>ABS((V$35-V22)/V$35)</f>
        <v>3.4142532348632799</v>
      </c>
      <c r="W59" s="4">
        <f>ABS((W$35-W22)/W$35)</f>
        <v>1.1266496976216633</v>
      </c>
      <c r="X59" s="4">
        <f>ABS((X$35-X22)/X$35)</f>
        <v>0</v>
      </c>
      <c r="Y59" s="4">
        <f>ABS((Y$35-Y22)/Y$35)</f>
        <v>0.11642773946126006</v>
      </c>
      <c r="Z59" s="4">
        <f>ABS((Z$35-Z22)/Z$35)</f>
        <v>2.0199418067931907E-2</v>
      </c>
      <c r="AA59" s="4">
        <f>ABS((AA$35-AA22)/AA$35)</f>
        <v>0.86978296041488701</v>
      </c>
      <c r="AB59" s="4">
        <f>ABS((AB$35-AB22)/AB$35)</f>
        <v>0.84313933551311504</v>
      </c>
      <c r="AC59" s="4">
        <f>ABS((AC$35-AC22)/AC$35)</f>
        <v>0.8737023621797565</v>
      </c>
      <c r="AD59" s="4">
        <f>ABS((AD$35-AD22)/AD$35)</f>
        <v>1.261895477771759</v>
      </c>
      <c r="AE59" s="4">
        <f>ABS((AE$35-AE22)/AE$35)</f>
        <v>0.47823482751846502</v>
      </c>
      <c r="AF59" s="4">
        <f>ABS((AF$35-AF22)/AF$35)</f>
        <v>0.35242903232574496</v>
      </c>
      <c r="AG59" s="15">
        <f t="shared" si="2"/>
        <v>0.3867265334835755</v>
      </c>
      <c r="AH59" s="15">
        <f t="shared" si="3"/>
        <v>0.61141414303838415</v>
      </c>
      <c r="AI59" s="6">
        <f>B22</f>
        <v>0.58843290805816595</v>
      </c>
    </row>
    <row r="60" spans="1:35" x14ac:dyDescent="0.35">
      <c r="A60" t="str">
        <f>A23</f>
        <v>Model_175</v>
      </c>
      <c r="B60" s="1" t="s">
        <v>153</v>
      </c>
      <c r="C60" s="4">
        <f>ABS((C$35-C23)/C$35)</f>
        <v>0.11623497009277398</v>
      </c>
      <c r="D60" s="4">
        <f>ABS((D$35-D23)/D$35)</f>
        <v>0</v>
      </c>
      <c r="E60" s="4">
        <f>ABS((E$35-E23)/E$35)</f>
        <v>5.2284737428024974E-2</v>
      </c>
      <c r="F60" s="4">
        <f>ABS((F$35-F23)/F$35)</f>
        <v>0.14691443741321489</v>
      </c>
      <c r="G60" s="4">
        <f>ABS((G$35-G23)/G$35)</f>
        <v>8.7319433689117543E-2</v>
      </c>
      <c r="H60" s="4">
        <f>ABS((H$35-H23)/H$35)</f>
        <v>0.42719355225563066</v>
      </c>
      <c r="I60" s="4">
        <f>ABS((I$35-I23)/I$35)</f>
        <v>0.74090310931205627</v>
      </c>
      <c r="J60" s="4">
        <f>ABS((J$35-J23)/J$35)</f>
        <v>3.3025323748588495</v>
      </c>
      <c r="K60" s="4">
        <f>ABS((K$35-K23)/K$35)</f>
        <v>1.8546223044395433</v>
      </c>
      <c r="L60" s="4">
        <f>ABS((L$35-L23)/L$35)</f>
        <v>0.87688916921615312</v>
      </c>
      <c r="M60" s="4">
        <f>ABS((M$35-M23)/M$35)</f>
        <v>0.42749261856079168</v>
      </c>
      <c r="N60" s="4">
        <f>ABS((N$35-N23)/N$35)</f>
        <v>0</v>
      </c>
      <c r="O60" s="4">
        <f>ABS((O$35-O23)/O$35)</f>
        <v>0.21438150405884002</v>
      </c>
      <c r="P60" s="4">
        <f>ABS((P$35-P23)/P$35)</f>
        <v>0.95825636386871205</v>
      </c>
      <c r="Q60" s="4">
        <f>ABS((Q$35-Q23)/Q$35)</f>
        <v>0.15517454147338902</v>
      </c>
      <c r="R60" s="4">
        <f>ABS((R$35-R23)/R$35)</f>
        <v>0.46978008747100997</v>
      </c>
      <c r="S60" s="4">
        <f>ABS((S$35-S23)/S$35)</f>
        <v>0.6114721298217749</v>
      </c>
      <c r="T60" s="4">
        <f>ABS((T$35-T23)/T$35)</f>
        <v>0.20205217599868797</v>
      </c>
      <c r="U60" s="4">
        <f>ABS((U$35-U23)/U$35)</f>
        <v>0.47058165073394997</v>
      </c>
      <c r="V60" s="4">
        <f>ABS((V$35-V23)/V$35)</f>
        <v>2.39235162734985</v>
      </c>
      <c r="W60" s="4">
        <f>ABS((W$35-W23)/W$35)</f>
        <v>0.84750786423683167</v>
      </c>
      <c r="X60" s="4">
        <f>ABS((X$35-X23)/X$35)</f>
        <v>0</v>
      </c>
      <c r="Y60" s="4">
        <f>ABS((Y$35-Y23)/Y$35)</f>
        <v>0.1260375181833866</v>
      </c>
      <c r="Z60" s="4">
        <f>ABS((Z$35-Z23)/Z$35)</f>
        <v>0.26564252376556396</v>
      </c>
      <c r="AA60" s="4">
        <f>ABS((AA$35-AA23)/AA$35)</f>
        <v>0.48923330307006002</v>
      </c>
      <c r="AB60" s="4">
        <f>ABS((AB$35-AB23)/AB$35)</f>
        <v>6.5344393253329969E-2</v>
      </c>
      <c r="AC60" s="4">
        <f>ABS((AC$35-AC23)/AC$35)</f>
        <v>1.8406555652618399</v>
      </c>
      <c r="AD60" s="4">
        <f>ABS((AD$35-AD23)/AD$35)</f>
        <v>6.4308762550350007E-2</v>
      </c>
      <c r="AE60" s="4">
        <f>ABS((AE$35-AE23)/AE$35)</f>
        <v>0.29385787248611495</v>
      </c>
      <c r="AF60" s="4">
        <f>ABS((AF$35-AF23)/AF$35)</f>
        <v>0.53571772575378507</v>
      </c>
      <c r="AG60" s="15">
        <f t="shared" si="2"/>
        <v>0.35052805973423778</v>
      </c>
      <c r="AH60" s="15">
        <f t="shared" si="3"/>
        <v>0.66795341913346773</v>
      </c>
      <c r="AI60" s="6">
        <f>B23</f>
        <v>0.59051859378814697</v>
      </c>
    </row>
    <row r="61" spans="1:35" x14ac:dyDescent="0.35">
      <c r="A61" t="str">
        <f>A24</f>
        <v>Model_185</v>
      </c>
      <c r="B61" s="1" t="s">
        <v>153</v>
      </c>
      <c r="C61" s="4">
        <f>ABS((C$35-C24)/C$35)</f>
        <v>0.69590826034546005</v>
      </c>
      <c r="D61" s="4">
        <f>ABS((D$35-D24)/D$35)</f>
        <v>0</v>
      </c>
      <c r="E61" s="4">
        <f>ABS((E$35-E24)/E$35)</f>
        <v>0.97071956905225909</v>
      </c>
      <c r="F61" s="4">
        <f>ABS((F$35-F24)/F$35)</f>
        <v>0.2208019644022001</v>
      </c>
      <c r="G61" s="4">
        <f>ABS((G$35-G24)/G$35)</f>
        <v>0.54202508926391624</v>
      </c>
      <c r="H61" s="4">
        <f>ABS((H$35-H24)/H$35)</f>
        <v>1.6375297158956499</v>
      </c>
      <c r="I61" s="4">
        <f>ABS((I$35-I24)/I$35)</f>
        <v>1.2766548395156812</v>
      </c>
      <c r="J61" s="4">
        <f>ABS((J$35-J24)/J$35)</f>
        <v>3.244132936000812</v>
      </c>
      <c r="K61" s="4">
        <f>ABS((K$35-K24)/K$35)</f>
        <v>1.473441958427425</v>
      </c>
      <c r="L61" s="4">
        <f>ABS((L$35-L24)/L$35)</f>
        <v>0.42994686961173756</v>
      </c>
      <c r="M61" s="4">
        <f>ABS((M$35-M24)/M$35)</f>
        <v>0.28670024871826172</v>
      </c>
      <c r="N61" s="4">
        <f>ABS((N$35-N24)/N$35)</f>
        <v>0</v>
      </c>
      <c r="O61" s="4">
        <f>ABS((O$35-O24)/O$35)</f>
        <v>0.390831375122068</v>
      </c>
      <c r="P61" s="4">
        <f>ABS((P$35-P24)/P$35)</f>
        <v>8.8489770889282005E-2</v>
      </c>
      <c r="Q61" s="4">
        <f>ABS((Q$35-Q24)/Q$35)</f>
        <v>0.11162223815918004</v>
      </c>
      <c r="R61" s="4">
        <f>ABS((R$35-R24)/R$35)</f>
        <v>2.2366775274276698</v>
      </c>
      <c r="S61" s="4">
        <f>ABS((S$35-S24)/S$35)</f>
        <v>3.4162459373474103</v>
      </c>
      <c r="T61" s="4">
        <f>ABS((T$35-T24)/T$35)</f>
        <v>11.723402023315399</v>
      </c>
      <c r="U61" s="4">
        <f>ABS((U$35-U24)/U$35)</f>
        <v>6.4150819778442001</v>
      </c>
      <c r="V61" s="4">
        <f>ABS((V$35-V24)/V$35)</f>
        <v>18.147237777709901</v>
      </c>
      <c r="W61" s="4">
        <f>ABS((W$35-W24)/W$35)</f>
        <v>1.0931128263473511</v>
      </c>
      <c r="X61" s="4">
        <f>ABS((X$35-X24)/X$35)</f>
        <v>0</v>
      </c>
      <c r="Y61" s="4">
        <f>ABS((Y$35-Y24)/Y$35)</f>
        <v>0.14502437909444663</v>
      </c>
      <c r="Z61" s="4">
        <f>ABS((Z$35-Z24)/Z$35)</f>
        <v>9.2639207839966042E-2</v>
      </c>
      <c r="AA61" s="4">
        <f>ABS((AA$35-AA24)/AA$35)</f>
        <v>0.89621134996414198</v>
      </c>
      <c r="AB61" s="4">
        <f>ABS((AB$35-AB24)/AB$35)</f>
        <v>1.144480288028717</v>
      </c>
      <c r="AC61" s="4">
        <f>ABS((AC$35-AC24)/AC$35)</f>
        <v>0.48405259847641002</v>
      </c>
      <c r="AD61" s="4">
        <f>ABS((AD$35-AD24)/AD$35)</f>
        <v>8.0959141254425049E-2</v>
      </c>
      <c r="AE61" s="4">
        <f>ABS((AE$35-AE24)/AE$35)</f>
        <v>0.464391469955445</v>
      </c>
      <c r="AF61" s="4">
        <f>ABS((AF$35-AF24)/AF$35)</f>
        <v>0.69035384058952498</v>
      </c>
      <c r="AG61" s="15">
        <f t="shared" si="2"/>
        <v>0.44269195575681053</v>
      </c>
      <c r="AH61" s="15">
        <f t="shared" si="3"/>
        <v>2.1629138955777387</v>
      </c>
      <c r="AI61" s="6">
        <f>B24</f>
        <v>0.58843940496444702</v>
      </c>
    </row>
    <row r="62" spans="1:35" x14ac:dyDescent="0.35">
      <c r="A62" t="str">
        <f>A25</f>
        <v>Model_199</v>
      </c>
      <c r="B62" s="1" t="s">
        <v>153</v>
      </c>
      <c r="C62" s="4">
        <f>ABS((C$35-C25)/C$35)</f>
        <v>0.404808425903322</v>
      </c>
      <c r="D62" s="4">
        <f>ABS((D$35-D25)/D$35)</f>
        <v>0</v>
      </c>
      <c r="E62" s="4">
        <f>ABS((E$35-E25)/E$35)</f>
        <v>3.9310991764066792E-2</v>
      </c>
      <c r="F62" s="4">
        <f>ABS((F$35-F25)/F$35)</f>
        <v>0.19699940085410997</v>
      </c>
      <c r="G62" s="4">
        <f>ABS((G$35-G25)/G$35)</f>
        <v>0.24628335237503129</v>
      </c>
      <c r="H62" s="4">
        <f>ABS((H$35-H25)/H$35)</f>
        <v>1.4226953163743019</v>
      </c>
      <c r="I62" s="4">
        <f>ABS((I$35-I25)/I$35)</f>
        <v>1.7521574497222872</v>
      </c>
      <c r="J62" s="4">
        <f>ABS((J$35-J25)/J$35)</f>
        <v>6.8204321861267001</v>
      </c>
      <c r="K62" s="4">
        <f>ABS((K$35-K25)/K$35)</f>
        <v>3.5929753780364937</v>
      </c>
      <c r="L62" s="4">
        <f>ABS((L$35-L25)/L$35)</f>
        <v>1.6970562338829027</v>
      </c>
      <c r="M62" s="4">
        <f>ABS((M$35-M25)/M$35)</f>
        <v>1.3478806018829335</v>
      </c>
      <c r="N62" s="4">
        <f>ABS((N$35-N25)/N$35)</f>
        <v>0</v>
      </c>
      <c r="O62" s="4">
        <f>ABS((O$35-O25)/O$35)</f>
        <v>0.16957035064697604</v>
      </c>
      <c r="P62" s="4">
        <f>ABS((P$35-P25)/P$35)</f>
        <v>0.20136189460754395</v>
      </c>
      <c r="Q62" s="4">
        <f>ABS((Q$35-Q25)/Q$35)</f>
        <v>0.10433225631713902</v>
      </c>
      <c r="R62" s="4">
        <f>ABS((R$35-R25)/R$35)</f>
        <v>1.5023037195205649</v>
      </c>
      <c r="S62" s="4">
        <f>ABS((S$35-S25)/S$35)</f>
        <v>2.2704844474792449</v>
      </c>
      <c r="T62" s="4">
        <f>ABS((T$35-T25)/T$35)</f>
        <v>4.9819388389587402</v>
      </c>
      <c r="U62" s="4">
        <f>ABS((U$35-U25)/U$35)</f>
        <v>2.5132198333740199</v>
      </c>
      <c r="V62" s="4">
        <f>ABS((V$35-V25)/V$35)</f>
        <v>9.2520370483398402</v>
      </c>
      <c r="W62" s="4">
        <f>ABS((W$35-W25)/W$35)</f>
        <v>0.92897346615791332</v>
      </c>
      <c r="X62" s="4">
        <f>ABS((X$35-X25)/X$35)</f>
        <v>0</v>
      </c>
      <c r="Y62" s="4">
        <f>ABS((Y$35-Y25)/Y$35)</f>
        <v>5.8823347091673327E-2</v>
      </c>
      <c r="Z62" s="4">
        <f>ABS((Z$35-Z25)/Z$35)</f>
        <v>2.3383734226226802</v>
      </c>
      <c r="AA62" s="4">
        <f>ABS((AA$35-AA25)/AA$35)</f>
        <v>0.89749177694320692</v>
      </c>
      <c r="AB62" s="4">
        <f>ABS((AB$35-AB25)/AB$35)</f>
        <v>1.0574881061911581</v>
      </c>
      <c r="AC62" s="4">
        <f>ABS((AC$35-AC25)/AC$35)</f>
        <v>0.62569653987884544</v>
      </c>
      <c r="AD62" s="4">
        <f>ABS((AD$35-AD25)/AD$35)</f>
        <v>6.7309856414790037E-2</v>
      </c>
      <c r="AE62" s="4">
        <f>ABS((AE$35-AE25)/AE$35)</f>
        <v>0.37316405773162997</v>
      </c>
      <c r="AF62" s="4">
        <f>ABS((AF$35-AF25)/AF$35)</f>
        <v>0.63191363215446494</v>
      </c>
      <c r="AG62" s="15">
        <f t="shared" si="2"/>
        <v>0.63178910017013545</v>
      </c>
      <c r="AH62" s="15">
        <f t="shared" si="3"/>
        <v>1.6850030344945397</v>
      </c>
      <c r="AI62" s="6">
        <f>B25</f>
        <v>0.58892214298248202</v>
      </c>
    </row>
    <row r="63" spans="1:35" x14ac:dyDescent="0.35">
      <c r="A63" t="str">
        <f>A26</f>
        <v>Model_203</v>
      </c>
      <c r="B63" s="1" t="s">
        <v>153</v>
      </c>
      <c r="C63" s="4">
        <f>ABS((C$35-C26)/C$35)</f>
        <v>0.14813413619994992</v>
      </c>
      <c r="D63" s="4">
        <f>ABS((D$35-D26)/D$35)</f>
        <v>0</v>
      </c>
      <c r="E63" s="4">
        <f>ABS((E$35-E26)/E$35)</f>
        <v>0.28260980049768331</v>
      </c>
      <c r="F63" s="4">
        <f>ABS((F$35-F26)/F$35)</f>
        <v>0.33305248618126004</v>
      </c>
      <c r="G63" s="4">
        <f>ABS((G$35-G26)/G$35)</f>
        <v>0.20415580272674494</v>
      </c>
      <c r="H63" s="4">
        <f>ABS((H$35-H26)/H$35)</f>
        <v>1.8586948513987511E-2</v>
      </c>
      <c r="I63" s="4">
        <f>ABS((I$35-I26)/I$35)</f>
        <v>0.82598233222961248</v>
      </c>
      <c r="J63" s="4">
        <f>ABS((J$35-J26)/J$35)</f>
        <v>0.86605840921401245</v>
      </c>
      <c r="K63" s="4">
        <f>ABS((K$35-K26)/K$35)</f>
        <v>0.67512536048888738</v>
      </c>
      <c r="L63" s="4">
        <f>ABS((L$35-L26)/L$35)</f>
        <v>0.2869341671466813</v>
      </c>
      <c r="M63" s="4">
        <f>ABS((M$35-M26)/M$35)</f>
        <v>0.40674289067586339</v>
      </c>
      <c r="N63" s="4">
        <f>ABS((N$35-N26)/N$35)</f>
        <v>0</v>
      </c>
      <c r="O63" s="4">
        <f>ABS((O$35-O26)/O$35)</f>
        <v>0.83061395883560196</v>
      </c>
      <c r="P63" s="4">
        <f>ABS((P$35-P26)/P$35)</f>
        <v>0.24558377265930198</v>
      </c>
      <c r="Q63" s="4">
        <f>ABS((Q$35-Q26)/Q$35)</f>
        <v>0.539232873916626</v>
      </c>
      <c r="R63" s="4">
        <f>ABS((R$35-R26)/R$35)</f>
        <v>0.62446486949920699</v>
      </c>
      <c r="S63" s="4">
        <f>ABS((S$35-S26)/S$35)</f>
        <v>0.30129259824752996</v>
      </c>
      <c r="T63" s="4">
        <f>ABS((T$35-T26)/T$35)</f>
        <v>5.6540071964264027E-2</v>
      </c>
      <c r="U63" s="4">
        <f>ABS((U$35-U26)/U$35)</f>
        <v>0.15307372808456499</v>
      </c>
      <c r="V63" s="4">
        <f>ABS((V$35-V26)/V$35)</f>
        <v>3.6026422977447501</v>
      </c>
      <c r="W63" s="4">
        <f>ABS((W$35-W26)/W$35)</f>
        <v>0.1706170241038</v>
      </c>
      <c r="X63" s="4">
        <f>ABS((X$35-X26)/X$35)</f>
        <v>0</v>
      </c>
      <c r="Y63" s="4">
        <f>ABS((Y$35-Y26)/Y$35)</f>
        <v>4.1510715484619132</v>
      </c>
      <c r="Z63" s="4">
        <f>ABS((Z$35-Z26)/Z$35)</f>
        <v>12.74478435516356</v>
      </c>
      <c r="AA63" s="4">
        <f>ABS((AA$35-AA26)/AA$35)</f>
        <v>0.58805937767028893</v>
      </c>
      <c r="AB63" s="4">
        <f>ABS((AB$35-AB26)/AB$35)</f>
        <v>0.66425958275795005</v>
      </c>
      <c r="AC63" s="4">
        <f>ABS((AC$35-AC26)/AC$35)</f>
        <v>0.37533318996429499</v>
      </c>
      <c r="AD63" s="4">
        <f>ABS((AD$35-AD26)/AD$35)</f>
        <v>1.00770044326782</v>
      </c>
      <c r="AE63" s="4">
        <f>ABS((AE$35-AE26)/AE$35)</f>
        <v>0.80227470397948997</v>
      </c>
      <c r="AF63" s="4">
        <f>ABS((AF$35-AF26)/AF$35)</f>
        <v>0.38461792469024503</v>
      </c>
      <c r="AG63" s="15">
        <f t="shared" si="2"/>
        <v>2.1459122191976596</v>
      </c>
      <c r="AH63" s="15">
        <f t="shared" si="3"/>
        <v>1.1588720242550328</v>
      </c>
      <c r="AI63" s="6">
        <f>B26</f>
        <v>0.59473192691802901</v>
      </c>
    </row>
    <row r="64" spans="1:35" x14ac:dyDescent="0.35">
      <c r="A64" t="str">
        <f>A27</f>
        <v>Model_207</v>
      </c>
      <c r="B64" s="1" t="s">
        <v>153</v>
      </c>
      <c r="C64" s="4">
        <f>ABS((C$35-C27)/C$35)</f>
        <v>0.72874124050140399</v>
      </c>
      <c r="D64" s="4">
        <f>ABS((D$35-D27)/D$35)</f>
        <v>0</v>
      </c>
      <c r="E64" s="4">
        <f>ABS((E$35-E27)/E$35)</f>
        <v>0.85059574246406577</v>
      </c>
      <c r="F64" s="4">
        <f>ABS((F$35-F27)/F$35)</f>
        <v>0.79395549744367599</v>
      </c>
      <c r="G64" s="4">
        <f>ABS((G$35-G27)/G$35)</f>
        <v>0.98912585154175758</v>
      </c>
      <c r="H64" s="4">
        <f>ABS((H$35-H27)/H$35)</f>
        <v>1.014564684825018</v>
      </c>
      <c r="I64" s="4">
        <f>ABS((I$35-I27)/I$35)</f>
        <v>0.94552910327911377</v>
      </c>
      <c r="J64" s="4">
        <f>ABS((J$35-J27)/J$35)</f>
        <v>0.17122334241867126</v>
      </c>
      <c r="K64" s="4">
        <f>ABS((K$35-K27)/K$35)</f>
        <v>0.50406715273857128</v>
      </c>
      <c r="L64" s="4">
        <f>ABS((L$35-L27)/L$35)</f>
        <v>0.70568059012293849</v>
      </c>
      <c r="M64" s="4">
        <f>ABS((M$35-M27)/M$35)</f>
        <v>1.0497486094633737</v>
      </c>
      <c r="N64" s="4">
        <f>ABS((N$35-N27)/N$35)</f>
        <v>0</v>
      </c>
      <c r="O64" s="4">
        <f>ABS((O$35-O27)/O$35)</f>
        <v>0.67223892211913994</v>
      </c>
      <c r="P64" s="4">
        <f>ABS((P$35-P27)/P$35)</f>
        <v>11.30916213989256</v>
      </c>
      <c r="Q64" s="4">
        <f>ABS((Q$35-Q27)/Q$35)</f>
        <v>0.27987833023071296</v>
      </c>
      <c r="R64" s="4">
        <f>ABS((R$35-R27)/R$35)</f>
        <v>1.9645211696624751</v>
      </c>
      <c r="S64" s="4">
        <f>ABS((S$35-S27)/S$35)</f>
        <v>2.6072411537170401</v>
      </c>
      <c r="T64" s="4">
        <f>ABS((T$35-T27)/T$35)</f>
        <v>0.37039256095886008</v>
      </c>
      <c r="U64" s="4">
        <f>ABS((U$35-U27)/U$35)</f>
        <v>0.17996889352798495</v>
      </c>
      <c r="V64" s="4">
        <f>ABS((V$35-V27)/V$35)</f>
        <v>2.94664311408996</v>
      </c>
      <c r="W64" s="4">
        <f>ABS((W$35-W27)/W$35)</f>
        <v>0.11911559104919493</v>
      </c>
      <c r="X64" s="4">
        <f>ABS((X$35-X27)/X$35)</f>
        <v>0</v>
      </c>
      <c r="Y64" s="4">
        <f>ABS((Y$35-Y27)/Y$35)</f>
        <v>9.2824856440220024E-2</v>
      </c>
      <c r="Z64" s="4">
        <f>ABS((Z$35-Z27)/Z$35)</f>
        <v>0.22500526905060003</v>
      </c>
      <c r="AA64" s="4">
        <f>ABS((AA$35-AA27)/AA$35)</f>
        <v>0.27203850746154801</v>
      </c>
      <c r="AB64" s="4">
        <f>ABS((AB$35-AB27)/AB$35)</f>
        <v>1.975021839141845</v>
      </c>
      <c r="AC64" s="4">
        <f>ABS((AC$35-AC27)/AC$35)</f>
        <v>2.64651298522949</v>
      </c>
      <c r="AD64" s="4">
        <f>ABS((AD$35-AD27)/AD$35)</f>
        <v>5.6022691726684499</v>
      </c>
      <c r="AE64" s="4">
        <f>ABS((AE$35-AE27)/AE$35)</f>
        <v>2.9507408142089799</v>
      </c>
      <c r="AF64" s="4">
        <f>ABS((AF$35-AF27)/AF$35)</f>
        <v>1.3446314334869376</v>
      </c>
      <c r="AG64" s="15">
        <f t="shared" si="2"/>
        <v>1.7601542076026926</v>
      </c>
      <c r="AH64" s="15">
        <f t="shared" si="3"/>
        <v>1.6041273543605401</v>
      </c>
      <c r="AI64" s="6">
        <f>B27</f>
        <v>0.589846491813659</v>
      </c>
    </row>
    <row r="65" spans="1:35" x14ac:dyDescent="0.35">
      <c r="A65" t="str">
        <f>A28</f>
        <v>Model_213</v>
      </c>
      <c r="B65" s="1" t="s">
        <v>153</v>
      </c>
      <c r="C65" s="4">
        <f>ABS((C$35-C28)/C$35)</f>
        <v>0.421718454360962</v>
      </c>
      <c r="D65" s="4">
        <f>ABS((D$35-D28)/D$35)</f>
        <v>0</v>
      </c>
      <c r="E65" s="4">
        <f>ABS((E$35-E28)/E$35)</f>
        <v>0.76199182371298502</v>
      </c>
      <c r="F65" s="4">
        <f>ABS((F$35-F28)/F$35)</f>
        <v>0.26993191242218256</v>
      </c>
      <c r="G65" s="4">
        <f>ABS((G$35-G28)/G$35)</f>
        <v>0.71866223216056868</v>
      </c>
      <c r="H65" s="4">
        <f>ABS((H$35-H28)/H$35)</f>
        <v>0.7521207295358181</v>
      </c>
      <c r="I65" s="4">
        <f>ABS((I$35-I28)/I$35)</f>
        <v>0.60384733974933624</v>
      </c>
      <c r="J65" s="4">
        <f>ABS((J$35-J28)/J$35)</f>
        <v>7.9781845211983754E-2</v>
      </c>
      <c r="K65" s="4">
        <f>ABS((K$35-K28)/K$35)</f>
        <v>0.38785564154386565</v>
      </c>
      <c r="L65" s="4">
        <f>ABS((L$35-L28)/L$35)</f>
        <v>0.59109641611576247</v>
      </c>
      <c r="M65" s="4">
        <f>ABS((M$35-M28)/M$35)</f>
        <v>0.53870912392934167</v>
      </c>
      <c r="N65" s="4">
        <f>ABS((N$35-N28)/N$35)</f>
        <v>0</v>
      </c>
      <c r="O65" s="4">
        <f>ABS((O$35-O28)/O$35)</f>
        <v>1.0713392257690402</v>
      </c>
      <c r="P65" s="4">
        <f>ABS((P$35-P28)/P$35)</f>
        <v>1.3013873100280602</v>
      </c>
      <c r="Q65" s="4">
        <f>ABS((Q$35-Q28)/Q$35)</f>
        <v>0.27378025054931704</v>
      </c>
      <c r="R65" s="4">
        <f>ABS((R$35-R28)/R$35)</f>
        <v>0.36014699935913497</v>
      </c>
      <c r="S65" s="4">
        <f>ABS((S$35-S28)/S$35)</f>
        <v>2.2592425346370071E-2</v>
      </c>
      <c r="T65" s="4">
        <f>ABS((T$35-T28)/T$35)</f>
        <v>1.1863985061645499</v>
      </c>
      <c r="U65" s="4">
        <f>ABS((U$35-U28)/U$35)</f>
        <v>0.45442855358123491</v>
      </c>
      <c r="V65" s="4">
        <f>ABS((V$35-V28)/V$35)</f>
        <v>4.8861486911773602</v>
      </c>
      <c r="W65" s="4">
        <f>ABS((W$35-W28)/W$35)</f>
        <v>0.27884531021118164</v>
      </c>
      <c r="X65" s="4">
        <f>ABS((X$35-X28)/X$35)</f>
        <v>0</v>
      </c>
      <c r="Y65" s="4">
        <f>ABS((Y$35-Y28)/Y$35)</f>
        <v>0.16694887479145995</v>
      </c>
      <c r="Z65" s="4">
        <f>ABS((Z$35-Z28)/Z$35)</f>
        <v>3.5030663013460028E-2</v>
      </c>
      <c r="AA65" s="4">
        <f>ABS((AA$35-AA28)/AA$35)</f>
        <v>0.11317892074584002</v>
      </c>
      <c r="AB65" s="4">
        <f>ABS((AB$35-AB28)/AB$35)</f>
        <v>1.9207656383514959E-2</v>
      </c>
      <c r="AC65" s="4">
        <f>ABS((AC$35-AC28)/AC$35)</f>
        <v>0.56747102737426491</v>
      </c>
      <c r="AD65" s="4">
        <f>ABS((AD$35-AD28)/AD$35)</f>
        <v>3.0273895263671804</v>
      </c>
      <c r="AE65" s="4">
        <f>ABS((AE$35-AE28)/AE$35)</f>
        <v>1.679086208343505</v>
      </c>
      <c r="AF65" s="4">
        <f>ABS((AF$35-AF28)/AF$35)</f>
        <v>0.78959071636199751</v>
      </c>
      <c r="AG65" s="15">
        <f t="shared" si="2"/>
        <v>0.53843363313763037</v>
      </c>
      <c r="AH65" s="15">
        <f t="shared" si="3"/>
        <v>0.7910624586781585</v>
      </c>
      <c r="AI65" s="6">
        <f>B28</f>
        <v>0.593683362007141</v>
      </c>
    </row>
    <row r="66" spans="1:35" x14ac:dyDescent="0.35">
      <c r="A66" t="str">
        <f>A29</f>
        <v>Model_229</v>
      </c>
      <c r="B66" s="1" t="s">
        <v>153</v>
      </c>
      <c r="C66" s="4">
        <f>ABS((C$35-C29)/C$35)</f>
        <v>6.973991394043004E-2</v>
      </c>
      <c r="D66" s="4">
        <f>ABS((D$35-D29)/D$35)</f>
        <v>0</v>
      </c>
      <c r="E66" s="4">
        <f>ABS((E$35-E29)/E$35)</f>
        <v>0.9007430473963417</v>
      </c>
      <c r="F66" s="4">
        <f>ABS((F$35-F29)/F$35)</f>
        <v>0.81156158447265481</v>
      </c>
      <c r="G66" s="4">
        <f>ABS((G$35-G29)/G$35)</f>
        <v>6.96707963943487E-2</v>
      </c>
      <c r="H66" s="4">
        <f>ABS((H$35-H29)/H$35)</f>
        <v>2.3280576467513998</v>
      </c>
      <c r="I66" s="4">
        <f>ABS((I$35-I29)/I$35)</f>
        <v>3.6044850349426247</v>
      </c>
      <c r="J66" s="4">
        <f>ABS((J$35-J29)/J$35)</f>
        <v>3.4094160199165247</v>
      </c>
      <c r="K66" s="4">
        <f>ABS((K$35-K29)/K$35)</f>
        <v>1.8725665807723997</v>
      </c>
      <c r="L66" s="4">
        <f>ABS((L$35-L29)/L$35)</f>
        <v>0.85266792774200295</v>
      </c>
      <c r="M66" s="4">
        <f>ABS((M$35-M29)/M$35)</f>
        <v>7.0482333501180008E-2</v>
      </c>
      <c r="N66" s="4">
        <f>ABS((N$35-N29)/N$35)</f>
        <v>0</v>
      </c>
      <c r="O66" s="4">
        <f>ABS((O$35-O29)/O$35)</f>
        <v>0.503733682632448</v>
      </c>
      <c r="P66" s="4">
        <f>ABS((P$35-P29)/P$35)</f>
        <v>0.12814557552337802</v>
      </c>
      <c r="Q66" s="4">
        <f>ABS((Q$35-Q29)/Q$35)</f>
        <v>0.47461175918579102</v>
      </c>
      <c r="R66" s="4">
        <f>ABS((R$35-R29)/R$35)</f>
        <v>1.749998867511745</v>
      </c>
      <c r="S66" s="4">
        <f>ABS((S$35-S29)/S$35)</f>
        <v>1.6003079414367649</v>
      </c>
      <c r="T66" s="4">
        <f>ABS((T$35-T29)/T$35)</f>
        <v>2.5145919322967498</v>
      </c>
      <c r="U66" s="4">
        <f>ABS((U$35-U29)/U$35)</f>
        <v>1.2896227836608851</v>
      </c>
      <c r="V66" s="4">
        <f>ABS((V$35-V29)/V$35)</f>
        <v>6.9067883491516104</v>
      </c>
      <c r="W66" s="4">
        <f>ABS((W$35-W29)/W$35)</f>
        <v>0.78603567679723163</v>
      </c>
      <c r="X66" s="4">
        <f>ABS((X$35-X29)/X$35)</f>
        <v>0</v>
      </c>
      <c r="Y66" s="4">
        <f>ABS((Y$35-Y29)/Y$35)</f>
        <v>0.5361348390579227</v>
      </c>
      <c r="Z66" s="4">
        <f>ABS((Z$35-Z29)/Z$35)</f>
        <v>7.5728178024291992E-2</v>
      </c>
      <c r="AA66" s="4">
        <f>ABS((AA$35-AA29)/AA$35)</f>
        <v>0.98907586485147481</v>
      </c>
      <c r="AB66" s="4">
        <f>ABS((AB$35-AB29)/AB$35)</f>
        <v>1.0155943520367146</v>
      </c>
      <c r="AC66" s="4">
        <f>ABS((AC$35-AC29)/AC$35)</f>
        <v>0.94593310356140148</v>
      </c>
      <c r="AD66" s="4">
        <f>ABS((AD$35-AD29)/AD$35)</f>
        <v>5.6976199150079898E-2</v>
      </c>
      <c r="AE66" s="4">
        <f>ABS((AE$35-AE29)/AE$35)</f>
        <v>0.31142026185989502</v>
      </c>
      <c r="AF66" s="4">
        <f>ABS((AF$35-AF29)/AF$35)</f>
        <v>0.55589905381202742</v>
      </c>
      <c r="AG66" s="15">
        <f t="shared" si="2"/>
        <v>0.43136720348287549</v>
      </c>
      <c r="AH66" s="15">
        <f t="shared" si="3"/>
        <v>1.2751847891251968</v>
      </c>
      <c r="AI66" s="6">
        <f>B29</f>
        <v>0.58987390995025601</v>
      </c>
    </row>
    <row r="67" spans="1:35" x14ac:dyDescent="0.35">
      <c r="A67" t="str">
        <f>A30</f>
        <v>Model_233</v>
      </c>
      <c r="B67" s="1" t="s">
        <v>153</v>
      </c>
      <c r="C67" s="4">
        <f>ABS((C$35-C30)/C$35)</f>
        <v>0.52295856475830205</v>
      </c>
      <c r="D67" s="4">
        <f>ABS((D$35-D30)/D$35)</f>
        <v>0</v>
      </c>
      <c r="E67" s="4">
        <f>ABS((E$35-E30)/E$35)</f>
        <v>0.86552414794763</v>
      </c>
      <c r="F67" s="4">
        <f>ABS((F$35-F30)/F$35)</f>
        <v>0.6130189672112476</v>
      </c>
      <c r="G67" s="4">
        <f>ABS((G$35-G30)/G$35)</f>
        <v>0.33952152729034502</v>
      </c>
      <c r="H67" s="4">
        <f>ABS((H$35-H30)/H$35)</f>
        <v>0.67169273644685745</v>
      </c>
      <c r="I67" s="4">
        <f>ABS((I$35-I30)/I$35)</f>
        <v>0.35350942611693748</v>
      </c>
      <c r="J67" s="4">
        <f>ABS((J$35-J30)/J$35)</f>
        <v>3.9553778767585746</v>
      </c>
      <c r="K67" s="4">
        <f>ABS((K$35-K30)/K$35)</f>
        <v>1.9628264904022188</v>
      </c>
      <c r="L67" s="4">
        <f>ABS((L$35-L30)/L$35)</f>
        <v>0.7890106141567218</v>
      </c>
      <c r="M67" s="4">
        <f>ABS((M$35-M30)/M$35)</f>
        <v>0.84714762369791663</v>
      </c>
      <c r="N67" s="4">
        <f>ABS((N$35-N30)/N$35)</f>
        <v>0</v>
      </c>
      <c r="O67" s="4">
        <f>ABS((O$35-O30)/O$35)</f>
        <v>0.38602905273437199</v>
      </c>
      <c r="P67" s="4">
        <f>ABS((P$35-P30)/P$35)</f>
        <v>2.4953796863555802</v>
      </c>
      <c r="Q67" s="4">
        <f>ABS((Q$35-Q30)/Q$35)</f>
        <v>0.73869018554687005</v>
      </c>
      <c r="R67" s="4">
        <f>ABS((R$35-R30)/R$35)</f>
        <v>0.13574051856994995</v>
      </c>
      <c r="S67" s="4">
        <f>ABS((S$35-S30)/S$35)</f>
        <v>2.5630736351013148</v>
      </c>
      <c r="T67" s="4">
        <f>ABS((T$35-T30)/T$35)</f>
        <v>6.6600446701049796</v>
      </c>
      <c r="U67" s="4">
        <f>ABS((U$35-U30)/U$35)</f>
        <v>3.5799493789672852</v>
      </c>
      <c r="V67" s="4">
        <f>ABS((V$35-V30)/V$35)</f>
        <v>12.061841011047299</v>
      </c>
      <c r="W67" s="4">
        <f>ABS((W$35-W30)/W$35)</f>
        <v>0.63925552368164162</v>
      </c>
      <c r="X67" s="4">
        <f>ABS((X$35-X30)/X$35)</f>
        <v>0</v>
      </c>
      <c r="Y67" s="4">
        <f>ABS((Y$35-Y30)/Y$35)</f>
        <v>0.68853092193603338</v>
      </c>
      <c r="Z67" s="4">
        <f>ABS((Z$35-Z30)/Z$35)</f>
        <v>0.24552810192107999</v>
      </c>
      <c r="AA67" s="4">
        <f>ABS((AA$35-AA30)/AA$35)</f>
        <v>0.11497106552124095</v>
      </c>
      <c r="AB67" s="4">
        <f>ABS((AB$35-AB30)/AB$35)</f>
        <v>0.56007438898086548</v>
      </c>
      <c r="AC67" s="4">
        <f>ABS((AC$35-AC30)/AC$35)</f>
        <v>0.81367731094359996</v>
      </c>
      <c r="AD67" s="4">
        <f>ABS((AD$35-AD30)/AD$35)</f>
        <v>5.8166966438293404</v>
      </c>
      <c r="AE67" s="4">
        <f>ABS((AE$35-AE30)/AE$35)</f>
        <v>3.0757112503051749</v>
      </c>
      <c r="AF67" s="4">
        <f>ABS((AF$35-AF30)/AF$35)</f>
        <v>1.4609916210174552</v>
      </c>
      <c r="AG67" s="15">
        <f t="shared" si="2"/>
        <v>0.81148584336042251</v>
      </c>
      <c r="AH67" s="15">
        <f t="shared" si="3"/>
        <v>1.9613619607907713</v>
      </c>
      <c r="AI67" s="6">
        <f>B30</f>
        <v>0.59560835361480702</v>
      </c>
    </row>
    <row r="68" spans="1:35" x14ac:dyDescent="0.35">
      <c r="A68" t="str">
        <f>A31</f>
        <v>Model_244</v>
      </c>
      <c r="B68" s="1" t="s">
        <v>153</v>
      </c>
      <c r="C68" s="4">
        <f>ABS((C$35-C31)/C$35)</f>
        <v>0.60917291641235405</v>
      </c>
      <c r="D68" s="4">
        <f>ABS((D$35-D31)/D$35)</f>
        <v>0</v>
      </c>
      <c r="E68" s="4">
        <f>ABS((E$35-E31)/E$35)</f>
        <v>0.15490965048472491</v>
      </c>
      <c r="F68" s="4">
        <f>ABS((F$35-F31)/F$35)</f>
        <v>0.27138350903988001</v>
      </c>
      <c r="G68" s="4">
        <f>ABS((G$35-G31)/G$35)</f>
        <v>0.34358990192413374</v>
      </c>
      <c r="H68" s="4">
        <f>ABS((H$35-H31)/H$35)</f>
        <v>1.867449715733525</v>
      </c>
      <c r="I68" s="4">
        <f>ABS((I$35-I31)/I$35)</f>
        <v>2.3040294051170309</v>
      </c>
      <c r="J68" s="4">
        <f>ABS((J$35-J31)/J$35)</f>
        <v>6.954709649085987</v>
      </c>
      <c r="K68" s="4">
        <f>ABS((K$35-K31)/K$35)</f>
        <v>0.97432921314612031</v>
      </c>
      <c r="L68" s="4">
        <f>ABS((L$35-L31)/L$35)</f>
        <v>0.50680765509605319</v>
      </c>
      <c r="M68" s="4">
        <f>ABS((M$35-M31)/M$35)</f>
        <v>1.3103478749593001</v>
      </c>
      <c r="N68" s="4">
        <f>ABS((N$35-N31)/N$35)</f>
        <v>0</v>
      </c>
      <c r="O68" s="4">
        <f>ABS((O$35-O31)/O$35)</f>
        <v>0.14358835220336807</v>
      </c>
      <c r="P68" s="4">
        <f>ABS((P$35-P31)/P$35)</f>
        <v>0.20470166206359797</v>
      </c>
      <c r="Q68" s="4">
        <f>ABS((Q$35-Q31)/Q$35)</f>
        <v>0.16477699279785191</v>
      </c>
      <c r="R68" s="4">
        <f>ABS((R$35-R31)/R$35)</f>
        <v>2.1037518978118852</v>
      </c>
      <c r="S68" s="4">
        <f>ABS((S$35-S31)/S$35)</f>
        <v>3.2040810585021946</v>
      </c>
      <c r="T68" s="4">
        <f>ABS((T$35-T31)/T$35)</f>
        <v>1.5551720261573792</v>
      </c>
      <c r="U68" s="4">
        <f>ABS((U$35-U31)/U$35)</f>
        <v>0.99760665185749531</v>
      </c>
      <c r="V68" s="4">
        <f>ABS((V$35-V31)/V$35)</f>
        <v>1.5619332790374751</v>
      </c>
      <c r="W68" s="4">
        <f>ABS((W$35-W31)/W$35)</f>
        <v>0.10043732325236003</v>
      </c>
      <c r="X68" s="4">
        <f>ABS((X$35-X31)/X$35)</f>
        <v>0</v>
      </c>
      <c r="Y68" s="4">
        <f>ABS((Y$35-Y31)/Y$35)</f>
        <v>0.93792140483856201</v>
      </c>
      <c r="Z68" s="4">
        <f>ABS((Z$35-Z31)/Z$35)</f>
        <v>0.50278386473655801</v>
      </c>
      <c r="AA68" s="4">
        <f>ABS((AA$35-AA31)/AA$35)</f>
        <v>0.65917327404022308</v>
      </c>
      <c r="AB68" s="4">
        <f>ABS((AB$35-AB31)/AB$35)</f>
        <v>1.4504044055938721</v>
      </c>
      <c r="AC68" s="4">
        <f>ABS((AC$35-AC31)/AC$35)</f>
        <v>0.71554577350616011</v>
      </c>
      <c r="AD68" s="4">
        <f>ABS((AD$35-AD31)/AD$35)</f>
        <v>2.55426681041717</v>
      </c>
      <c r="AE68" s="4">
        <f>ABS((AE$35-AE31)/AE$35)</f>
        <v>0.9932995499111712</v>
      </c>
      <c r="AF68" s="4">
        <f>ABS((AF$35-AF31)/AF$35)</f>
        <v>0.60670101642608754</v>
      </c>
      <c r="AG68" s="15">
        <f t="shared" si="2"/>
        <v>0.47058295088785612</v>
      </c>
      <c r="AH68" s="15">
        <f t="shared" si="3"/>
        <v>1.2501064753389823</v>
      </c>
      <c r="AI68" s="6">
        <f>B31</f>
        <v>0.58866536617278997</v>
      </c>
    </row>
    <row r="69" spans="1:35" x14ac:dyDescent="0.35">
      <c r="AF69" s="14" t="s">
        <v>158</v>
      </c>
      <c r="AG69" s="15">
        <f>MIN(AG39:AG68)</f>
        <v>0.31299593327221892</v>
      </c>
      <c r="AH69" s="15">
        <f>MIN(AH39:AH68)</f>
        <v>0.51133650785518969</v>
      </c>
      <c r="AI69" s="6">
        <f>MAX(AI39:AI68)</f>
        <v>0.59604775905609098</v>
      </c>
    </row>
    <row r="70" spans="1:35" x14ac:dyDescent="0.35">
      <c r="AF70" s="14" t="s">
        <v>156</v>
      </c>
      <c r="AG70" s="15">
        <f>AVERAGE(AG39:AG68)</f>
        <v>1.0040245659028479</v>
      </c>
      <c r="AH70" s="15">
        <f>AVERAGE(AH39:AH68)</f>
        <v>1.3732905785184633</v>
      </c>
      <c r="AI70" s="11">
        <f>AVERAGE(AI39:AI68)</f>
        <v>0.59061872561772644</v>
      </c>
    </row>
    <row r="71" spans="1:35" x14ac:dyDescent="0.35">
      <c r="AF71" s="14" t="s">
        <v>157</v>
      </c>
      <c r="AG71" s="17">
        <f>_xlfn.STDEV.P(AG39:AG68)</f>
        <v>0.72625954673673587</v>
      </c>
      <c r="AH71" s="17">
        <f>_xlfn.STDEV.P(AH39:AH68)</f>
        <v>0.47815766622707684</v>
      </c>
      <c r="AI71" s="18">
        <f>_xlfn.STDEV.P(AI39:AI68)</f>
        <v>2.1367483031027664E-3</v>
      </c>
    </row>
  </sheetData>
  <conditionalFormatting sqref="AG39:AG68">
    <cfRule type="top10" dxfId="2" priority="4" bottom="1" rank="1"/>
  </conditionalFormatting>
  <conditionalFormatting sqref="AH39:AH68">
    <cfRule type="top10" dxfId="1" priority="3" bottom="1" rank="1"/>
  </conditionalFormatting>
  <conditionalFormatting sqref="AI39:AI68">
    <cfRule type="top10" dxfId="0" priority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MNL</vt:lpstr>
      <vt:lpstr>EMNL</vt:lpstr>
      <vt:lpstr>LCCM</vt:lpstr>
      <vt:lpstr>NNLCCM</vt:lpstr>
      <vt:lpstr>DCMSEAL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Kwangho Baek</dc:creator>
  <cp:lastModifiedBy>Kwangho Baek</cp:lastModifiedBy>
  <dcterms:created xsi:type="dcterms:W3CDTF">2015-06-05T18:17:20Z</dcterms:created>
  <dcterms:modified xsi:type="dcterms:W3CDTF">2025-11-08T02:09:59Z</dcterms:modified>
</cp:coreProperties>
</file>